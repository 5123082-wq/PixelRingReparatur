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1ad4a161748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bb6234c01c64f07"/>
    <x:sheet xmlns:r="http://schemas.openxmlformats.org/officeDocument/2006/relationships" name="Constructions" sheetId="2" r:id="Rfb2ddd2aad724dfa"/>
    <x:sheet xmlns:r="http://schemas.openxmlformats.org/officeDocument/2006/relationships" name="Scenarios" sheetId="3" r:id="R374ac506f5d74be3"/>
    <x:sheet xmlns:r="http://schemas.openxmlformats.org/officeDocument/2006/relationships" name="Construction_Scenarios" sheetId="4" r:id="Rfe23544499c74696"/>
    <x:sheet xmlns:r="http://schemas.openxmlformats.org/officeDocument/2006/relationships" name="Scopes" sheetId="5" r:id="Rc417d217f88c4e09"/>
    <x:sheet xmlns:r="http://schemas.openxmlformats.org/officeDocument/2006/relationships" name="Access" sheetId="6" r:id="R7ac64cca3c5f4b17"/>
    <x:sheet xmlns:r="http://schemas.openxmlformats.org/officeDocument/2006/relationships" name="Service_Areas" sheetId="7" r:id="Ra22ee97a9e8349b4"/>
    <x:sheet xmlns:r="http://schemas.openxmlformats.org/officeDocument/2006/relationships" name="Urgency" sheetId="8" r:id="R964538325b4f4fd5"/>
    <x:sheet xmlns:r="http://schemas.openxmlformats.org/officeDocument/2006/relationships" name="Area_Bands" sheetId="9" r:id="Ra722e85f0aa04b65"/>
    <x:sheet xmlns:r="http://schemas.openxmlformats.org/officeDocument/2006/relationships" name="Photo_Checklist" sheetId="10" r:id="Rb78435150424410d"/>
    <x:sheet xmlns:r="http://schemas.openxmlformats.org/officeDocument/2006/relationships" name="Copy_Settings" sheetId="11" r:id="R9112643004e747a9"/>
    <x:sheet xmlns:r="http://schemas.openxmlformats.org/officeDocument/2006/relationships" name="Formula_Model" sheetId="12" r:id="R83fa854b1193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Inter"/>
    </x:font>
    <x:font>
      <x:sz val="11"/>
      <x:name val="Inter"/>
    </x:font>
    <x:font>
      <x:b/>
      <x:sz val="11"/>
      <x:color rgb="FFFFFFFF"/>
      <x:name val="Inter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/>
    <x:xf numFmtId="0" fontId="4" fillId="0" borderId="0" xfId="0" applyNumberFormat="1" applyFont="1" applyFill="1" applyBorder="1"/>
    <x:xf numFmtId="0" fontId="5" borderId="0" xfId="0" applyNumberFormat="1" applyFont="1" applyFill="0" applyBorder="1" applyAlignment="1">
      <x:alignment horizontal="center"/>
    </x:xf>
    <x:xf numFmtId="0" fontId="4" borderId="0" xfId="0" applyNumberFormat="1" applyFont="1" applyFill="0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borderId="0" xfId="0" applyNumberFormat="1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borderId="0" xfId="0" applyNumberFormat="1" applyFont="1" applyFill="0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borderId="0" xfId="0" applyNumberFormat="1" applyFont="1" applyFill="0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borderId="0" xfId="0" applyNumberFormat="1" applyFont="1" applyFill="0" applyBorder="1" applyAlignment="1">
      <x:alignment horizontal="center" wrapText="1"/>
    </x:xf>
    <x:xf numFmtId="0" fontId="3" borderId="0" xfId="0" applyNumberFormat="1" applyFont="1" applyFill="0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borderId="0" xfId="0" applyNumberFormat="1" applyFont="1" applyFill="0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1137de24344aa" /><Relationship Type="http://schemas.openxmlformats.org/officeDocument/2006/relationships/theme" Target="/xl/theme/theme1.xml" Id="R38673b203ada4314" /><Relationship Type="http://schemas.microsoft.com/office/2022/11/relationships/FeaturePropertyBag" Target="/xl/featurePropertyBag/featurePropertyBag.xml" Id="R255c218ecfe84f13" /><Relationship Type="http://schemas.openxmlformats.org/officeDocument/2006/relationships/sharedStrings" Target="/xl/sharedStrings.xml" Id="Rf2a945fa24764b09" /><Relationship Type="http://schemas.openxmlformats.org/officeDocument/2006/relationships/worksheet" Target="/xl/worksheets/sheet1.xml" Id="Rebb6234c01c64f07" /><Relationship Type="http://schemas.openxmlformats.org/officeDocument/2006/relationships/worksheet" Target="/xl/worksheets/sheet2.xml" Id="Rfb2ddd2aad724dfa" /><Relationship Type="http://schemas.openxmlformats.org/officeDocument/2006/relationships/worksheet" Target="/xl/worksheets/sheet3.xml" Id="R374ac506f5d74be3" /><Relationship Type="http://schemas.openxmlformats.org/officeDocument/2006/relationships/worksheet" Target="/xl/worksheets/sheet4.xml" Id="Rfe23544499c74696" /><Relationship Type="http://schemas.openxmlformats.org/officeDocument/2006/relationships/worksheet" Target="/xl/worksheets/sheet5.xml" Id="Rc417d217f88c4e09" /><Relationship Type="http://schemas.openxmlformats.org/officeDocument/2006/relationships/worksheet" Target="/xl/worksheets/sheet6.xml" Id="R7ac64cca3c5f4b17" /><Relationship Type="http://schemas.openxmlformats.org/officeDocument/2006/relationships/worksheet" Target="/xl/worksheets/sheet7.xml" Id="Ra22ee97a9e8349b4" /><Relationship Type="http://schemas.openxmlformats.org/officeDocument/2006/relationships/worksheet" Target="/xl/worksheets/sheet8.xml" Id="R964538325b4f4fd5" /><Relationship Type="http://schemas.openxmlformats.org/officeDocument/2006/relationships/worksheet" Target="/xl/worksheets/sheet9.xml" Id="Ra722e85f0aa04b65" /><Relationship Type="http://schemas.openxmlformats.org/officeDocument/2006/relationships/worksheet" Target="/xl/worksheets/sheet10.xml" Id="Rb78435150424410d" /><Relationship Type="http://schemas.openxmlformats.org/officeDocument/2006/relationships/worksheet" Target="/xl/worksheets/sheet11.xml" Id="R9112643004e747a9" /><Relationship Type="http://schemas.openxmlformats.org/officeDocument/2006/relationships/worksheet" Target="/xl/worksheets/sheet12.xml" Id="R83fa854b119346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9" t="str">
        <x:v>PixelRing Diagnostic Card Config - README</x:v>
      </x:c>
      <x:c r="B1" s="20"/>
      <x:c r="C1" s="20"/>
    </x:row>
    <x:row r="2">
      <x:c r="A2" s="20"/>
      <x:c r="B2" s="20"/>
      <x:c r="C2" s="20"/>
    </x:row>
    <x:row r="3">
      <x:c r="A3" s="21" t="str">
        <x:v>Section</x:v>
      </x:c>
      <x:c r="B3" s="21" t="str">
        <x:v>What to edit</x:v>
      </x:c>
      <x:c r="C3" s="21" t="str">
        <x:v>DB mapping idea</x:v>
      </x:c>
    </x:row>
    <x:row r="4">
      <x:c r="A4" s="10" t="str">
        <x:v>Purpose</x:v>
      </x:c>
      <x:c r="B4" s="10" t="str">
        <x:v>Editable configuration for the alternative PixelRing diagnostic card.</x:v>
      </x:c>
      <x:c r="C4" s="10" t="str">
        <x:v>Can become seed data, CMS tables, or JSON config.</x:v>
      </x:c>
    </x:row>
    <x:row r="5">
      <x:c r="A5" s="10" t="str">
        <x:v>IDs</x:v>
      </x:c>
      <x:c r="B5" s="10" t="str">
        <x:v>Keep all *_id values stable. Change labels, modifiers, and active flags freely.</x:v>
      </x:c>
      <x:c r="C5" s="10" t="str">
        <x:v>IDs are foreign keys between sheets.</x:v>
      </x:c>
    </x:row>
    <x:row r="6">
      <x:c r="A6" s="10" t="str">
        <x:v>Formula</x:v>
      </x:c>
      <x:c r="B6" s="10" t="str">
        <x:v>Cost range = scenario base + construction + scope + access + service area + urgency + area band.</x:v>
      </x:c>
      <x:c r="C6" s="10" t="str">
        <x:v>Server/client formula can read these tables.</x:v>
      </x:c>
    </x:row>
    <x:row r="7">
      <x:c r="A7" s="10" t="str">
        <x:v>Locales</x:v>
      </x:c>
      <x:c r="B7" s="10" t="str">
        <x:v>RU and DE labels are included now. Other MVP languages can be added as more label columns.</x:v>
      </x:c>
      <x:c r="C7" s="10" t="str">
        <x:v>Do not hardcode copy in components long-term.</x:v>
      </x:c>
    </x:row>
    <x:row r="8">
      <x:c r="A8" s="10" t="str">
        <x:v>Manual location</x:v>
      </x:c>
      <x:c r="B8" s="10" t="str">
        <x:v>The UI allows typing city/PLZ even when not listed. Listed cities are fast suggestions only.</x:v>
      </x:c>
      <x:c r="C8" s="10" t="str">
        <x:v>Store typed city/PLZ as request payload, not necessarily config row.</x:v>
      </x:c>
    </x:row>
    <x:row r="9">
      <x:c r="A9" s="20"/>
      <x:c r="B9" s="20"/>
      <x:c r="C9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9" t="str">
        <x:v>Constructions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 t="str">
        <x:v>construction_id</x:v>
      </x:c>
      <x:c r="B3" s="21" t="str">
        <x:v>active</x:v>
      </x:c>
      <x:c r="C3" s="21" t="str">
        <x:v>label_ru</x:v>
      </x:c>
      <x:c r="D3" s="21" t="str">
        <x:v>label_de</x:v>
      </x:c>
      <x:c r="E3" s="21" t="str">
        <x:v>description_ru</x:v>
      </x:c>
      <x:c r="F3" s="21" t="str">
        <x:v>description_de</x:v>
      </x:c>
      <x:c r="G3" s="21" t="str">
        <x:v>modifier_min_eur</x:v>
      </x:c>
      <x:c r="H3" s="21" t="str">
        <x:v>modifier_max_eur</x:v>
      </x:c>
      <x:c r="I3" s="21" t="str">
        <x:v>sort_order</x:v>
      </x:c>
      <x:c r="J3" s="21" t="str">
        <x:v>notes</x:v>
      </x:c>
    </x:row>
    <x:row r="4">
      <x:c r="A4" s="10" t="str">
        <x:v>facade</x:v>
      </x:c>
      <x:c r="B4" s="15" t="b">
        <x:v>1</x:v>
      </x:c>
      <x:c r="C4" s="10" t="str">
        <x:v>Фасадная вывеска</x:v>
      </x:c>
      <x:c r="D4" s="10" t="str">
        <x:v>Fassadenwerbeanlage</x:v>
      </x:c>
      <x:c r="E4" s="10" t="str">
        <x:v>вывеска на фасаде здания</x:v>
      </x:c>
      <x:c r="F4" s="10" t="str">
        <x:v>Werbeanlage an der Gebaeudefassade</x:v>
      </x:c>
      <x:c r="G4" s="10" t="n">
        <x:v>40</x:v>
      </x:c>
      <x:c r="H4" s="10" t="n">
        <x:v>140</x:v>
      </x:c>
      <x:c r="I4" s="10" t="n">
        <x:v>10</x:v>
      </x:c>
      <x:c r="J4" s="10" t="str">
        <x:v>General facade-mounted sign.</x:v>
      </x:c>
    </x:row>
    <x:row r="5">
      <x:c r="A5" s="10" t="str">
        <x:v>lightbox</x:v>
      </x:c>
      <x:c r="B5" s="15" t="b">
        <x:v>1</x:v>
      </x:c>
      <x:c r="C5" s="10" t="str">
        <x:v>Световой короб</x:v>
      </x:c>
      <x:c r="D5" s="10" t="str">
        <x:v>Leuchtkasten / Leuchttransparent</x:v>
      </x:c>
      <x:c r="E5" s="10" t="str">
        <x:v>короб с подсветкой и лицевой панелью</x:v>
      </x:c>
      <x:c r="F5" s="10" t="str">
        <x:v>Kasten mit beleuchteter Front</x:v>
      </x:c>
      <x:c r="G5" s="10" t="n">
        <x:v>30</x:v>
      </x:c>
      <x:c r="H5" s="10" t="n">
        <x:v>110</x:v>
      </x:c>
      <x:c r="I5" s="10" t="n">
        <x:v>20</x:v>
      </x:c>
      <x:c r="J5" s="10" t="str">
        <x:v>Leuchttransparent is common German wording.</x:v>
      </x:c>
    </x:row>
    <x:row r="6">
      <x:c r="A6" s="10" t="str">
        <x:v>letters</x:v>
      </x:c>
      <x:c r="B6" s="15" t="b">
        <x:v>1</x:v>
      </x:c>
      <x:c r="C6" s="10" t="str">
        <x:v>Световые LED-буквы</x:v>
      </x:c>
      <x:c r="D6" s="10" t="str">
        <x:v>LED-Leuchtbuchstaben</x:v>
      </x:c>
      <x:c r="E6" s="10" t="str">
        <x:v>объемные или плоские световые буквы</x:v>
      </x:c>
      <x:c r="F6" s="10" t="str">
        <x:v>Einzelbuchstaben oder Schriftzug</x:v>
      </x:c>
      <x:c r="G6" s="10" t="n">
        <x:v>60</x:v>
      </x:c>
      <x:c r="H6" s="10" t="n">
        <x:v>180</x:v>
      </x:c>
      <x:c r="I6" s="10" t="n">
        <x:v>30</x:v>
      </x:c>
      <x:c r="J6" s="10" t="str">
        <x:v>LED letters or illuminated lettering.</x:v>
      </x:c>
    </x:row>
    <x:row r="7">
      <x:c r="A7" s="10" t="str">
        <x:v>pylon</x:v>
      </x:c>
      <x:c r="B7" s="15" t="b">
        <x:v>1</x:v>
      </x:c>
      <x:c r="C7" s="10" t="str">
        <x:v>Пилон / консольная вывеска</x:v>
      </x:c>
      <x:c r="D7" s="10" t="str">
        <x:v>Pylon / Ausstecker</x:v>
      </x:c>
      <x:c r="E7" s="10" t="str">
        <x:v>отдельностоящая или выступающая конструкция</x:v>
      </x:c>
      <x:c r="F7" s="10" t="str">
        <x:v>freistehend oder auskragend</x:v>
      </x:c>
      <x:c r="G7" s="10" t="n">
        <x:v>120</x:v>
      </x:c>
      <x:c r="H7" s="10" t="n">
        <x:v>280</x:v>
      </x:c>
      <x:c r="I7" s="10" t="n">
        <x:v>40</x:v>
      </x:c>
      <x:c r="J7" s="10" t="str">
        <x:v>Outdoor pylon or projecting sign.</x:v>
      </x:c>
    </x:row>
    <x:row r="8">
      <x:c r="A8" s="10" t="str">
        <x:v>lightpanel</x:v>
      </x:c>
      <x:c r="B8" s="15" t="b">
        <x:v>1</x:v>
      </x:c>
      <x:c r="C8" s="10" t="str">
        <x:v>Световая панель</x:v>
      </x:c>
      <x:c r="D8" s="10" t="str">
        <x:v>Acrylglas-Leuchtpanel</x:v>
      </x:c>
      <x:c r="E8" s="10" t="str">
        <x:v>тонкая панель, Acrylglas-Leuchtpanel</x:v>
      </x:c>
      <x:c r="F8" s="10" t="str">
        <x:v>flaches Leuchtpanel</x:v>
      </x:c>
      <x:c r="G8" s="10" t="n">
        <x:v>80</x:v>
      </x:c>
      <x:c r="H8" s="10" t="n">
        <x:v>220</x:v>
      </x:c>
      <x:c r="I8" s="10" t="n">
        <x:v>50</x:v>
      </x:c>
      <x:c r="J8" s="10" t="str">
        <x:v>Neutral German wording for crystal-light-like panel.</x:v>
      </x:c>
    </x:row>
    <x:row r="9">
      <x:c r="A9" s="10" t="str">
        <x:v>film</x:v>
      </x:c>
      <x:c r="B9" s="15" t="b">
        <x:v>1</x:v>
      </x:c>
      <x:c r="C9" s="10" t="str">
        <x:v>Пленка / поверхность</x:v>
      </x:c>
      <x:c r="D9" s="10" t="str">
        <x:v>Folie / Oberflaeche</x:v>
      </x:c>
      <x:c r="E9" s="10" t="str">
        <x:v>пленка, печать, лицевая поверхность</x:v>
      </x:c>
      <x:c r="F9" s="10" t="str">
        <x:v>Folie, Druck oder Sichtflaeche</x:v>
      </x:c>
      <x:c r="G9" s="10" t="n">
        <x:v>0</x:v>
      </x:c>
      <x:c r="H9" s="10" t="n">
        <x:v>80</x:v>
      </x:c>
      <x:c r="I9" s="10" t="n">
        <x:v>60</x:v>
      </x:c>
      <x:c r="J9" s="10" t="str">
        <x:v>Surface and vinyl work.</x:v>
      </x:c>
    </x:row>
    <x:row r="10">
      <x:c r="A10" s="10" t="str">
        <x:v>neon</x:v>
      </x:c>
      <x:c r="B10" s="15" t="b">
        <x:v>1</x:v>
      </x:c>
      <x:c r="C10" s="10" t="str">
        <x:v>Классический неон</x:v>
      </x:c>
      <x:c r="D10" s="10" t="str">
        <x:v>Klassisches Neon</x:v>
      </x:c>
      <x:c r="E10" s="10" t="str">
        <x:v>стеклянные трубки и высоковольтный контур</x:v>
      </x:c>
      <x:c r="F10" s="10" t="str">
        <x:v>Glasroehren und Hochspannung</x:v>
      </x:c>
      <x:c r="G10" s="10" t="n">
        <x:v>180</x:v>
      </x:c>
      <x:c r="H10" s="10" t="n">
        <x:v>420</x:v>
      </x:c>
      <x:c r="I10" s="10" t="n">
        <x:v>70</x:v>
      </x:c>
      <x:c r="J10" s="10" t="str">
        <x:v>Classic neon has higher uncertainty.</x:v>
      </x:c>
    </x:row>
    <x:row r="11">
      <x:c r="A11" s="10" t="str">
        <x:v>display</x:v>
      </x:c>
      <x:c r="B11" s="15" t="b">
        <x:v>1</x:v>
      </x:c>
      <x:c r="C11" s="10" t="str">
        <x:v>Цифровой LED-экран</x:v>
      </x:c>
      <x:c r="D11" s="10" t="str">
        <x:v>Digitales LED-Display</x:v>
      </x:c>
      <x:c r="E11" s="10" t="str">
        <x:v>экран, бегущая строка или LED-display</x:v>
      </x:c>
      <x:c r="F11" s="10" t="str">
        <x:v>Display, Lauftext oder LED-Screen</x:v>
      </x:c>
      <x:c r="G11" s="10" t="n">
        <x:v>220</x:v>
      </x:c>
      <x:c r="H11" s="10" t="n">
        <x:v>520</x:v>
      </x:c>
      <x:c r="I11" s="10" t="n">
        <x:v>80</x:v>
      </x:c>
      <x:c r="J11" s="10" t="str">
        <x:v>Digital display or running text.</x:v>
      </x:c>
    </x:row>
    <x:row r="12">
      <x:c r="A12" s="10" t="str">
        <x:v>unknown</x:v>
      </x:c>
      <x:c r="B12" s="15" t="b">
        <x:v>1</x:v>
      </x:c>
      <x:c r="C12" s="10" t="str">
        <x:v>Не уверен</x:v>
      </x:c>
      <x:c r="D12" s="10" t="str">
        <x:v>Nicht sicher</x:v>
      </x:c>
      <x:c r="E12" s="10" t="str">
        <x:v>тип объекта пока непонятен</x:v>
      </x:c>
      <x:c r="F12" s="10" t="str">
        <x:v>Objektart noch unklar</x:v>
      </x:c>
      <x:c r="G12" s="10" t="n">
        <x:v>80</x:v>
      </x:c>
      <x:c r="H12" s="10" t="n">
        <x:v>220</x:v>
      </x:c>
      <x:c r="I12" s="10" t="n">
        <x:v>90</x:v>
      </x:c>
      <x:c r="J12" s="10" t="str">
        <x:v>Fallback for unknown construction.</x:v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9" t="str">
        <x:v>Scenarios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>
      <x:c r="A3" s="21" t="str">
        <x:v>scenario_id</x:v>
      </x:c>
      <x:c r="B3" s="21" t="str">
        <x:v>active</x:v>
      </x:c>
      <x:c r="C3" s="21" t="str">
        <x:v>label_ru</x:v>
      </x:c>
      <x:c r="D3" s="21" t="str">
        <x:v>label_de</x:v>
      </x:c>
      <x:c r="E3" s="21" t="str">
        <x:v>title_ru</x:v>
      </x:c>
      <x:c r="F3" s="21" t="str">
        <x:v>title_de</x:v>
      </x:c>
      <x:c r="G3" s="21" t="str">
        <x:v>symptom_ru</x:v>
      </x:c>
      <x:c r="H3" s="21" t="str">
        <x:v>symptom_de</x:v>
      </x:c>
      <x:c r="I3" s="21" t="str">
        <x:v>repair_orientation_ru</x:v>
      </x:c>
      <x:c r="J3" s="21" t="str">
        <x:v>repair_orientation_de</x:v>
      </x:c>
      <x:c r="K3" s="21" t="str">
        <x:v>base_min_eur</x:v>
      </x:c>
      <x:c r="L3" s="21" t="str">
        <x:v>base_max_eur</x:v>
      </x:c>
      <x:c r="M3" s="21" t="str">
        <x:v>sort_order</x:v>
      </x:c>
    </x:row>
    <x:row r="4">
      <x:c r="A4" s="10" t="str">
        <x:v>no-light</x:v>
      </x:c>
      <x:c r="B4" s="15" t="b">
        <x:v>1</x:v>
      </x:c>
      <x:c r="C4" s="10" t="str">
        <x:v>Вывеска не светится</x:v>
      </x:c>
      <x:c r="D4" s="10" t="str">
        <x:v>Werbeanlage leuchtet nicht</x:v>
      </x:c>
      <x:c r="E4" s="10" t="str">
        <x:v>Вся вывеска остается темной</x:v>
      </x:c>
      <x:c r="F4" s="10" t="str">
        <x:v>Die gesamte Anlage bleibt dunkel</x:v>
      </x:c>
      <x:c r="G4" s="10" t="str">
        <x:v>Нет подсветки или вывеска включается нестабильно.</x:v>
      </x:c>
      <x:c r="H4" s="10" t="str">
        <x:v>Keine Beleuchtung oder nur instabiler Start.</x:v>
      </x:c>
      <x:c r="I4" s="10" t="str">
        <x:v>Вероятный сценарий зависит от доступа и материала: локальная диагностика, замена блока питания, линии или управления.</x:v>
      </x:c>
      <x:c r="J4" s="10" t="str">
        <x:v>Moeglicher Pfad haengt von Zugang und Material ab: lokale Diagnose, Netzteil, Leitung oder Steuerung.</x:v>
      </x:c>
      <x:c r="K4" s="10" t="n">
        <x:v>240</x:v>
      </x:c>
      <x:c r="L4" s="10" t="n">
        <x:v>620</x:v>
      </x:c>
      <x:c r="M4" s="10" t="n">
        <x:v>10</x:v>
      </x:c>
    </x:row>
    <x:row r="5">
      <x:c r="A5" s="10" t="str">
        <x:v>flicker</x:v>
      </x:c>
      <x:c r="B5" s="15" t="b">
        <x:v>1</x:v>
      </x:c>
      <x:c r="C5" s="10" t="str">
        <x:v>Мерцает / нестабильный свет</x:v>
      </x:c>
      <x:c r="D5" s="10" t="str">
        <x:v>Flackern / instabiles Licht</x:v>
      </x:c>
      <x:c r="E5" s="10" t="str">
        <x:v>Свет мерцает или периодически пропадает</x:v>
      </x:c>
      <x:c r="F5" s="10" t="str">
        <x:v>Das Licht flackert oder faellt zeitweise aus</x:v>
      </x:c>
      <x:c r="G5" s="10" t="str">
        <x:v>Вывеска пульсирует, светит неравномерно или временами отключается.</x:v>
      </x:c>
      <x:c r="H5" s="10" t="str">
        <x:v>Die Anlage pulsiert, ist ungleich hell oder schaltet kurz ab.</x:v>
      </x:c>
      <x:c r="I5" s="10" t="str">
        <x:v>Возможна стабилизация питания, контактная работа или замена драйвера после проверки.</x:v>
      </x:c>
      <x:c r="J5" s="10" t="str">
        <x:v>Moeglich sind Stabilisierung der Versorgung, Kontaktarbeit oder Treibertausch nach Pruefung.</x:v>
      </x:c>
      <x:c r="K5" s="10" t="n">
        <x:v>240</x:v>
      </x:c>
      <x:c r="L5" s="10" t="n">
        <x:v>560</x:v>
      </x:c>
      <x:c r="M5" s="10" t="n">
        <x:v>20</x:v>
      </x:c>
    </x:row>
    <x:row r="6">
      <x:c r="A6" s="10" t="str">
        <x:v>rain-fail</x:v>
      </x:c>
      <x:c r="B6" s="15" t="b">
        <x:v>1</x:v>
      </x:c>
      <x:c r="C6" s="10" t="str">
        <x:v>После дождя выбивает автомат</x:v>
      </x:c>
      <x:c r="D6" s="10" t="str">
        <x:v>Nach Regen / Sicherung faellt</x:v>
      </x:c>
      <x:c r="E6" s="10" t="str">
        <x:v>Проблема появляется при дожде или влажности</x:v>
      </x:c>
      <x:c r="F6" s="10" t="str">
        <x:v>Stoerung bei Regen oder Feuchtigkeit</x:v>
      </x:c>
      <x:c r="G6" s="10" t="str">
        <x:v>Выбивает автомат, вывеска отключается или включается только после высыхания.</x:v>
      </x:c>
      <x:c r="H6" s="10" t="str">
        <x:v>Sicherung oder FI/RCD loest aus, die Anlage startet erst nach Trocknung.</x:v>
      </x:c>
      <x:c r="I6" s="10" t="str">
        <x:v>Сначала внешний осмотр и доступ; ремонтный сценарий зависит от причины влаги и состояния материалов.</x:v>
      </x:c>
      <x:c r="J6" s="10" t="str">
        <x:v>Zuerst Außenansicht und Zugang klaeren; Reparatur haengt von Feuchteursache und Materialzustand ab.</x:v>
      </x:c>
      <x:c r="K6" s="10" t="n">
        <x:v>320</x:v>
      </x:c>
      <x:c r="L6" s="10" t="n">
        <x:v>880</x:v>
      </x:c>
      <x:c r="M6" s="10" t="n">
        <x:v>30</x:v>
      </x:c>
    </x:row>
    <x:row r="7">
      <x:c r="A7" s="10" t="str">
        <x:v>film</x:v>
      </x:c>
      <x:c r="B7" s="15" t="b">
        <x:v>1</x:v>
      </x:c>
      <x:c r="C7" s="10" t="str">
        <x:v>Пленка / поверхность</x:v>
      </x:c>
      <x:c r="D7" s="10" t="str">
        <x:v>Folie / Oberflaeche</x:v>
      </x:c>
      <x:c r="E7" s="10" t="str">
        <x:v>Повреждена пленка или поверхность</x:v>
      </x:c>
      <x:c r="F7" s="10" t="str">
        <x:v>Folie oder Oberflaeche ist beschaedigt</x:v>
      </x:c>
      <x:c r="G7" s="10" t="str">
        <x:v>Пленка отклеивается, выцвела, появились пузыри или следы клея.</x:v>
      </x:c>
      <x:c r="H7" s="10" t="str">
        <x:v>Folie loest sich, ist verblasst, wirft Blasen oder Klebereste sind sichtbar.</x:v>
      </x:c>
      <x:c r="I7" s="10" t="str">
        <x:v>Возможна локальная корректировка, частичная замена или новая оклейка после оценки материала.</x:v>
      </x:c>
      <x:c r="J7" s="10" t="str">
        <x:v>Moeglich sind lokale Korrektur, Teilersatz oder Neuverklebung nach Materialpruefung.</x:v>
      </x:c>
      <x:c r="K7" s="10" t="n">
        <x:v>180</x:v>
      </x:c>
      <x:c r="L7" s="10" t="n">
        <x:v>620</x:v>
      </x:c>
      <x:c r="M7" s="10" t="n">
        <x:v>40</x:v>
      </x:c>
    </x:row>
    <x:row r="8">
      <x:c r="A8" s="10" t="str">
        <x:v>mounting</x:v>
      </x:c>
      <x:c r="B8" s="15" t="b">
        <x:v>1</x:v>
      </x:c>
      <x:c r="C8" s="10" t="str">
        <x:v>Крепление / шторм</x:v>
      </x:c>
      <x:c r="D8" s="10" t="str">
        <x:v>Befestigung / Sturm</x:v>
      </x:c>
      <x:c r="E8" s="10" t="str">
        <x:v>Поврежден корпус или крепление</x:v>
      </x:c>
      <x:c r="F8" s="10" t="str">
        <x:v>Befestigung oder Gehaeuse ist beschaedigt</x:v>
      </x:c>
      <x:c r="G8" s="10" t="str">
        <x:v>Вывеска шатается, крепления ослабли или есть повреждения после ветра, шторма или удара.</x:v>
      </x:c>
      <x:c r="H8" s="10" t="str">
        <x:v>Die Anlage wackelt, Halterungen sind lose oder nach Wind, Sturm oder Anstoß beschaedigt.</x:v>
      </x:c>
      <x:c r="I8" s="10" t="str">
        <x:v>Сначала нужно уточнить состояние и доступ; ремонтный план зависит от осмотра и материалов.</x:v>
      </x:c>
      <x:c r="J8" s="10" t="str">
        <x:v>Zuerst Zustand und Zugang klaeren; Reparaturplan erst nach Ansicht und Materialpruefung.</x:v>
      </x:c>
      <x:c r="K8" s="10" t="n">
        <x:v>360</x:v>
      </x:c>
      <x:c r="L8" s="10" t="n">
        <x:v>980</x:v>
      </x:c>
      <x:c r="M8" s="10" t="n">
        <x:v>50</x:v>
      </x:c>
    </x:row>
    <x:row r="9">
      <x:c r="A9" s="10" t="str">
        <x:v>led-zone</x:v>
      </x:c>
      <x:c r="B9" s="15" t="b">
        <x:v>1</x:v>
      </x:c>
      <x:c r="C9" s="10" t="str">
        <x:v>Не горит буква / LED-зона</x:v>
      </x:c>
      <x:c r="D9" s="10" t="str">
        <x:v>Buchstabe / LED-Zone dunkel</x:v>
      </x:c>
      <x:c r="E9" s="10" t="str">
        <x:v>Не светится буква или часть LED</x:v>
      </x:c>
      <x:c r="F9" s="10" t="str">
        <x:v>Ein Buchstabe oder LED-Bereich leuchtet nicht</x:v>
      </x:c>
      <x:c r="G9" s="10" t="str">
        <x:v>Отдельные буквы, LED-зоны или модули остаются темными.</x:v>
      </x:c>
      <x:c r="H9" s="10" t="str">
        <x:v>Einzelne Buchstaben, LED-Zonen oder Module bleiben dunkel.</x:v>
      </x:c>
      <x:c r="I9" s="10" t="str">
        <x:v>Возможен точечный ремонт зоны, но объем зависит от типа модулей и доступа.</x:v>
      </x:c>
      <x:c r="J9" s="10" t="str">
        <x:v>Punktuelle Reparatur ist moeglich, Umfang haengt von Modultyp und Zugang ab.</x:v>
      </x:c>
      <x:c r="K9" s="10" t="n">
        <x:v>220</x:v>
      </x:c>
      <x:c r="L9" s="10" t="n">
        <x:v>540</x:v>
      </x:c>
      <x:c r="M9" s="10" t="n">
        <x:v>60</x:v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9" t="str">
        <x:v>Construction_Scenarios</x:v>
      </x:c>
      <x:c r="B1" s="20"/>
      <x:c r="C1" s="20"/>
      <x:c r="D1" s="20"/>
      <x:c r="E1" s="20"/>
    </x:row>
    <x:row r="2">
      <x:c r="A2" s="20"/>
      <x:c r="B2" s="20"/>
      <x:c r="C2" s="20"/>
      <x:c r="D2" s="20"/>
      <x:c r="E2" s="20"/>
    </x:row>
    <x:row r="3">
      <x:c r="A3" s="21" t="str">
        <x:v>construction_id</x:v>
      </x:c>
      <x:c r="B3" s="21" t="str">
        <x:v>scenario_id</x:v>
      </x:c>
      <x:c r="C3" s="21" t="str">
        <x:v>active</x:v>
      </x:c>
      <x:c r="D3" s="21" t="str">
        <x:v>sort_order</x:v>
      </x:c>
      <x:c r="E3" s="21" t="str">
        <x:v>notes</x:v>
      </x:c>
    </x:row>
    <x:row r="4">
      <x:c r="A4" s="10" t="str">
        <x:v>facade</x:v>
      </x:c>
      <x:c r="B4" s="10" t="str">
        <x:v>no-light</x:v>
      </x:c>
      <x:c r="C4" s="15" t="b">
        <x:v>1</x:v>
      </x:c>
      <x:c r="D4" s="10" t="n">
        <x:v>10</x:v>
      </x:c>
      <x:c r="E4" s="10" t="str"/>
    </x:row>
    <x:row r="5">
      <x:c r="A5" s="10" t="str">
        <x:v>facade</x:v>
      </x:c>
      <x:c r="B5" s="10" t="str">
        <x:v>flicker</x:v>
      </x:c>
      <x:c r="C5" s="15" t="b">
        <x:v>1</x:v>
      </x:c>
      <x:c r="D5" s="10" t="n">
        <x:v>20</x:v>
      </x:c>
      <x:c r="E5" s="10" t="str"/>
    </x:row>
    <x:row r="6">
      <x:c r="A6" s="10" t="str">
        <x:v>facade</x:v>
      </x:c>
      <x:c r="B6" s="10" t="str">
        <x:v>rain-fail</x:v>
      </x:c>
      <x:c r="C6" s="15" t="b">
        <x:v>1</x:v>
      </x:c>
      <x:c r="D6" s="10" t="n">
        <x:v>30</x:v>
      </x:c>
      <x:c r="E6" s="10" t="str"/>
    </x:row>
    <x:row r="7">
      <x:c r="A7" s="10" t="str">
        <x:v>facade</x:v>
      </x:c>
      <x:c r="B7" s="10" t="str">
        <x:v>mounting</x:v>
      </x:c>
      <x:c r="C7" s="15" t="b">
        <x:v>1</x:v>
      </x:c>
      <x:c r="D7" s="10" t="n">
        <x:v>40</x:v>
      </x:c>
      <x:c r="E7" s="10" t="str"/>
    </x:row>
    <x:row r="8">
      <x:c r="A8" s="10" t="str">
        <x:v>facade</x:v>
      </x:c>
      <x:c r="B8" s="10" t="str">
        <x:v>led-zone</x:v>
      </x:c>
      <x:c r="C8" s="15" t="b">
        <x:v>1</x:v>
      </x:c>
      <x:c r="D8" s="10" t="n">
        <x:v>50</x:v>
      </x:c>
      <x:c r="E8" s="10" t="str"/>
    </x:row>
    <x:row r="9">
      <x:c r="A9" s="10" t="str">
        <x:v>lightbox</x:v>
      </x:c>
      <x:c r="B9" s="10" t="str">
        <x:v>no-light</x:v>
      </x:c>
      <x:c r="C9" s="15" t="b">
        <x:v>1</x:v>
      </x:c>
      <x:c r="D9" s="10" t="n">
        <x:v>10</x:v>
      </x:c>
      <x:c r="E9" s="10" t="str"/>
    </x:row>
    <x:row r="10">
      <x:c r="A10" s="10" t="str">
        <x:v>lightbox</x:v>
      </x:c>
      <x:c r="B10" s="10" t="str">
        <x:v>flicker</x:v>
      </x:c>
      <x:c r="C10" s="15" t="b">
        <x:v>1</x:v>
      </x:c>
      <x:c r="D10" s="10" t="n">
        <x:v>20</x:v>
      </x:c>
      <x:c r="E10" s="10" t="str"/>
    </x:row>
    <x:row r="11">
      <x:c r="A11" s="10" t="str">
        <x:v>lightbox</x:v>
      </x:c>
      <x:c r="B11" s="10" t="str">
        <x:v>rain-fail</x:v>
      </x:c>
      <x:c r="C11" s="15" t="b">
        <x:v>1</x:v>
      </x:c>
      <x:c r="D11" s="10" t="n">
        <x:v>30</x:v>
      </x:c>
      <x:c r="E11" s="10" t="str"/>
    </x:row>
    <x:row r="12">
      <x:c r="A12" s="10" t="str">
        <x:v>lightbox</x:v>
      </x:c>
      <x:c r="B12" s="10" t="str">
        <x:v>film</x:v>
      </x:c>
      <x:c r="C12" s="15" t="b">
        <x:v>1</x:v>
      </x:c>
      <x:c r="D12" s="10" t="n">
        <x:v>40</x:v>
      </x:c>
      <x:c r="E12" s="10" t="str"/>
    </x:row>
    <x:row r="13">
      <x:c r="A13" s="10" t="str">
        <x:v>letters</x:v>
      </x:c>
      <x:c r="B13" s="10" t="str">
        <x:v>led-zone</x:v>
      </x:c>
      <x:c r="C13" s="15" t="b">
        <x:v>1</x:v>
      </x:c>
      <x:c r="D13" s="10" t="n">
        <x:v>10</x:v>
      </x:c>
      <x:c r="E13" s="10" t="str"/>
    </x:row>
    <x:row r="14">
      <x:c r="A14" s="10" t="str">
        <x:v>letters</x:v>
      </x:c>
      <x:c r="B14" s="10" t="str">
        <x:v>flicker</x:v>
      </x:c>
      <x:c r="C14" s="15" t="b">
        <x:v>1</x:v>
      </x:c>
      <x:c r="D14" s="10" t="n">
        <x:v>20</x:v>
      </x:c>
      <x:c r="E14" s="10" t="str"/>
    </x:row>
    <x:row r="15">
      <x:c r="A15" s="10" t="str">
        <x:v>letters</x:v>
      </x:c>
      <x:c r="B15" s="10" t="str">
        <x:v>rain-fail</x:v>
      </x:c>
      <x:c r="C15" s="15" t="b">
        <x:v>1</x:v>
      </x:c>
      <x:c r="D15" s="10" t="n">
        <x:v>30</x:v>
      </x:c>
      <x:c r="E15" s="10" t="str"/>
    </x:row>
    <x:row r="16">
      <x:c r="A16" s="10" t="str">
        <x:v>letters</x:v>
      </x:c>
      <x:c r="B16" s="10" t="str">
        <x:v>mounting</x:v>
      </x:c>
      <x:c r="C16" s="15" t="b">
        <x:v>1</x:v>
      </x:c>
      <x:c r="D16" s="10" t="n">
        <x:v>40</x:v>
      </x:c>
      <x:c r="E16" s="10" t="str"/>
    </x:row>
    <x:row r="17">
      <x:c r="A17" s="10" t="str">
        <x:v>pylon</x:v>
      </x:c>
      <x:c r="B17" s="10" t="str">
        <x:v>no-light</x:v>
      </x:c>
      <x:c r="C17" s="15" t="b">
        <x:v>1</x:v>
      </x:c>
      <x:c r="D17" s="10" t="n">
        <x:v>10</x:v>
      </x:c>
      <x:c r="E17" s="10" t="str"/>
    </x:row>
    <x:row r="18">
      <x:c r="A18" s="10" t="str">
        <x:v>pylon</x:v>
      </x:c>
      <x:c r="B18" s="10" t="str">
        <x:v>flicker</x:v>
      </x:c>
      <x:c r="C18" s="15" t="b">
        <x:v>1</x:v>
      </x:c>
      <x:c r="D18" s="10" t="n">
        <x:v>20</x:v>
      </x:c>
      <x:c r="E18" s="10" t="str"/>
    </x:row>
    <x:row r="19">
      <x:c r="A19" s="10" t="str">
        <x:v>pylon</x:v>
      </x:c>
      <x:c r="B19" s="10" t="str">
        <x:v>mounting</x:v>
      </x:c>
      <x:c r="C19" s="15" t="b">
        <x:v>1</x:v>
      </x:c>
      <x:c r="D19" s="10" t="n">
        <x:v>30</x:v>
      </x:c>
      <x:c r="E19" s="10" t="str"/>
    </x:row>
    <x:row r="20">
      <x:c r="A20" s="10" t="str">
        <x:v>pylon</x:v>
      </x:c>
      <x:c r="B20" s="10" t="str">
        <x:v>rain-fail</x:v>
      </x:c>
      <x:c r="C20" s="15" t="b">
        <x:v>1</x:v>
      </x:c>
      <x:c r="D20" s="10" t="n">
        <x:v>40</x:v>
      </x:c>
      <x:c r="E20" s="10" t="str"/>
    </x:row>
    <x:row r="21">
      <x:c r="A21" s="10" t="str">
        <x:v>lightpanel</x:v>
      </x:c>
      <x:c r="B21" s="10" t="str">
        <x:v>no-light</x:v>
      </x:c>
      <x:c r="C21" s="15" t="b">
        <x:v>1</x:v>
      </x:c>
      <x:c r="D21" s="10" t="n">
        <x:v>10</x:v>
      </x:c>
      <x:c r="E21" s="10" t="str"/>
    </x:row>
    <x:row r="22">
      <x:c r="A22" s="10" t="str">
        <x:v>lightpanel</x:v>
      </x:c>
      <x:c r="B22" s="10" t="str">
        <x:v>flicker</x:v>
      </x:c>
      <x:c r="C22" s="15" t="b">
        <x:v>1</x:v>
      </x:c>
      <x:c r="D22" s="10" t="n">
        <x:v>20</x:v>
      </x:c>
      <x:c r="E22" s="10" t="str"/>
    </x:row>
    <x:row r="23">
      <x:c r="A23" s="10" t="str">
        <x:v>lightpanel</x:v>
      </x:c>
      <x:c r="B23" s="10" t="str">
        <x:v>film</x:v>
      </x:c>
      <x:c r="C23" s="15" t="b">
        <x:v>1</x:v>
      </x:c>
      <x:c r="D23" s="10" t="n">
        <x:v>30</x:v>
      </x:c>
      <x:c r="E23" s="10" t="str"/>
    </x:row>
    <x:row r="24">
      <x:c r="A24" s="10" t="str">
        <x:v>lightpanel</x:v>
      </x:c>
      <x:c r="B24" s="10" t="str">
        <x:v>rain-fail</x:v>
      </x:c>
      <x:c r="C24" s="15" t="b">
        <x:v>1</x:v>
      </x:c>
      <x:c r="D24" s="10" t="n">
        <x:v>40</x:v>
      </x:c>
      <x:c r="E24" s="10" t="str"/>
    </x:row>
    <x:row r="25">
      <x:c r="A25" s="10" t="str">
        <x:v>film</x:v>
      </x:c>
      <x:c r="B25" s="10" t="str">
        <x:v>film</x:v>
      </x:c>
      <x:c r="C25" s="15" t="b">
        <x:v>1</x:v>
      </x:c>
      <x:c r="D25" s="10" t="n">
        <x:v>10</x:v>
      </x:c>
      <x:c r="E25" s="10" t="str"/>
    </x:row>
    <x:row r="26">
      <x:c r="A26" s="10" t="str">
        <x:v>film</x:v>
      </x:c>
      <x:c r="B26" s="10" t="str">
        <x:v>mounting</x:v>
      </x:c>
      <x:c r="C26" s="15" t="b">
        <x:v>1</x:v>
      </x:c>
      <x:c r="D26" s="10" t="n">
        <x:v>20</x:v>
      </x:c>
      <x:c r="E26" s="10" t="str"/>
    </x:row>
    <x:row r="27">
      <x:c r="A27" s="10" t="str">
        <x:v>neon</x:v>
      </x:c>
      <x:c r="B27" s="10" t="str">
        <x:v>no-light</x:v>
      </x:c>
      <x:c r="C27" s="15" t="b">
        <x:v>1</x:v>
      </x:c>
      <x:c r="D27" s="10" t="n">
        <x:v>10</x:v>
      </x:c>
      <x:c r="E27" s="10" t="str"/>
    </x:row>
    <x:row r="28">
      <x:c r="A28" s="10" t="str">
        <x:v>neon</x:v>
      </x:c>
      <x:c r="B28" s="10" t="str">
        <x:v>flicker</x:v>
      </x:c>
      <x:c r="C28" s="15" t="b">
        <x:v>1</x:v>
      </x:c>
      <x:c r="D28" s="10" t="n">
        <x:v>20</x:v>
      </x:c>
      <x:c r="E28" s="10" t="str"/>
    </x:row>
    <x:row r="29">
      <x:c r="A29" s="10" t="str">
        <x:v>neon</x:v>
      </x:c>
      <x:c r="B29" s="10" t="str">
        <x:v>mounting</x:v>
      </x:c>
      <x:c r="C29" s="15" t="b">
        <x:v>1</x:v>
      </x:c>
      <x:c r="D29" s="10" t="n">
        <x:v>30</x:v>
      </x:c>
      <x:c r="E29" s="10" t="str"/>
    </x:row>
    <x:row r="30">
      <x:c r="A30" s="10" t="str">
        <x:v>display</x:v>
      </x:c>
      <x:c r="B30" s="10" t="str">
        <x:v>no-light</x:v>
      </x:c>
      <x:c r="C30" s="15" t="b">
        <x:v>1</x:v>
      </x:c>
      <x:c r="D30" s="10" t="n">
        <x:v>10</x:v>
      </x:c>
      <x:c r="E30" s="10" t="str"/>
    </x:row>
    <x:row r="31">
      <x:c r="A31" s="10" t="str">
        <x:v>display</x:v>
      </x:c>
      <x:c r="B31" s="10" t="str">
        <x:v>flicker</x:v>
      </x:c>
      <x:c r="C31" s="15" t="b">
        <x:v>1</x:v>
      </x:c>
      <x:c r="D31" s="10" t="n">
        <x:v>20</x:v>
      </x:c>
      <x:c r="E31" s="10" t="str"/>
    </x:row>
    <x:row r="32">
      <x:c r="A32" s="10" t="str">
        <x:v>display</x:v>
      </x:c>
      <x:c r="B32" s="10" t="str">
        <x:v>rain-fail</x:v>
      </x:c>
      <x:c r="C32" s="15" t="b">
        <x:v>1</x:v>
      </x:c>
      <x:c r="D32" s="10" t="n">
        <x:v>30</x:v>
      </x:c>
      <x:c r="E32" s="10" t="str"/>
    </x:row>
    <x:row r="33">
      <x:c r="A33" s="10" t="str">
        <x:v>display</x:v>
      </x:c>
      <x:c r="B33" s="10" t="str">
        <x:v>mounting</x:v>
      </x:c>
      <x:c r="C33" s="15" t="b">
        <x:v>1</x:v>
      </x:c>
      <x:c r="D33" s="10" t="n">
        <x:v>40</x:v>
      </x:c>
      <x:c r="E33" s="10" t="str"/>
    </x:row>
    <x:row r="34">
      <x:c r="A34" s="10" t="str">
        <x:v>unknown</x:v>
      </x:c>
      <x:c r="B34" s="10" t="str">
        <x:v>no-light</x:v>
      </x:c>
      <x:c r="C34" s="15" t="b">
        <x:v>1</x:v>
      </x:c>
      <x:c r="D34" s="10" t="n">
        <x:v>10</x:v>
      </x:c>
      <x:c r="E34" s="10" t="str"/>
    </x:row>
    <x:row r="35">
      <x:c r="A35" s="10" t="str">
        <x:v>unknown</x:v>
      </x:c>
      <x:c r="B35" s="10" t="str">
        <x:v>flicker</x:v>
      </x:c>
      <x:c r="C35" s="15" t="b">
        <x:v>1</x:v>
      </x:c>
      <x:c r="D35" s="10" t="n">
        <x:v>20</x:v>
      </x:c>
      <x:c r="E35" s="10" t="str"/>
    </x:row>
    <x:row r="36">
      <x:c r="A36" s="10" t="str">
        <x:v>unknown</x:v>
      </x:c>
      <x:c r="B36" s="10" t="str">
        <x:v>rain-fail</x:v>
      </x:c>
      <x:c r="C36" s="15" t="b">
        <x:v>1</x:v>
      </x:c>
      <x:c r="D36" s="10" t="n">
        <x:v>30</x:v>
      </x:c>
      <x:c r="E36" s="10" t="str"/>
    </x:row>
    <x:row r="37">
      <x:c r="A37" s="10" t="str">
        <x:v>unknown</x:v>
      </x:c>
      <x:c r="B37" s="10" t="str">
        <x:v>film</x:v>
      </x:c>
      <x:c r="C37" s="15" t="b">
        <x:v>1</x:v>
      </x:c>
      <x:c r="D37" s="10" t="n">
        <x:v>40</x:v>
      </x:c>
      <x:c r="E37" s="10" t="str"/>
    </x:row>
    <x:row r="38">
      <x:c r="A38" s="10" t="str">
        <x:v>unknown</x:v>
      </x:c>
      <x:c r="B38" s="10" t="str">
        <x:v>mounting</x:v>
      </x:c>
      <x:c r="C38" s="15" t="b">
        <x:v>1</x:v>
      </x:c>
      <x:c r="D38" s="10" t="n">
        <x:v>50</x:v>
      </x:c>
      <x:c r="E38" s="10" t="str"/>
    </x:row>
    <x:row r="39">
      <x:c r="A39" s="10" t="str">
        <x:v>unknown</x:v>
      </x:c>
      <x:c r="B39" s="10" t="str">
        <x:v>led-zone</x:v>
      </x:c>
      <x:c r="C39" s="15" t="b">
        <x:v>1</x:v>
      </x:c>
      <x:c r="D39" s="10" t="n">
        <x:v>60</x:v>
      </x:c>
      <x:c r="E39" s="10" t="str"/>
    </x:row>
    <x:row r="40">
      <x:c r="A40" s="20"/>
      <x:c r="B40" s="20"/>
      <x:c r="C40" s="20"/>
      <x:c r="D40" s="20"/>
      <x:c r="E40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9" t="str">
        <x:v>Scopes</x:v>
      </x:c>
      <x:c r="B1" s="20"/>
      <x:c r="C1" s="20"/>
      <x:c r="D1" s="20"/>
      <x:c r="E1" s="20"/>
      <x:c r="F1" s="20"/>
      <x:c r="G1" s="20"/>
      <x:c r="H1" s="20"/>
      <x:c r="I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</x:row>
    <x:row r="3">
      <x:c r="A3" s="21" t="str">
        <x:v>scenario_id</x:v>
      </x:c>
      <x:c r="B3" s="21" t="str">
        <x:v>scope_id</x:v>
      </x:c>
      <x:c r="C3" s="21" t="str">
        <x:v>label_ru</x:v>
      </x:c>
      <x:c r="D3" s="21" t="str">
        <x:v>label_de</x:v>
      </x:c>
      <x:c r="E3" s="21" t="str">
        <x:v>modifier_min_eur</x:v>
      </x:c>
      <x:c r="F3" s="21" t="str">
        <x:v>modifier_max_eur</x:v>
      </x:c>
      <x:c r="G3" s="21" t="str">
        <x:v>impact_ru</x:v>
      </x:c>
      <x:c r="H3" s="21" t="str">
        <x:v>impact_de</x:v>
      </x:c>
      <x:c r="I3" s="21" t="str">
        <x:v>sort_order</x:v>
      </x:c>
    </x:row>
    <x:row r="4">
      <x:c r="A4" s="10" t="str">
        <x:v>no-light</x:v>
      </x:c>
      <x:c r="B4" s="10" t="str">
        <x:v>single</x:v>
      </x:c>
      <x:c r="C4" s="10" t="str">
        <x:v>один участок</x:v>
      </x:c>
      <x:c r="D4" s="10" t="str">
        <x:v>ein Bereich</x:v>
      </x:c>
      <x:c r="E4" s="10" t="n">
        <x:v>0</x:v>
      </x:c>
      <x:c r="F4" s="10" t="n">
        <x:v>80</x:v>
      </x:c>
      <x:c r="G4" s="10" t="str">
        <x:v>один участок</x:v>
      </x:c>
      <x:c r="H4" s="10" t="str">
        <x:v>ein Bereich</x:v>
      </x:c>
      <x:c r="I4" s="10" t="n">
        <x:v>10</x:v>
      </x:c>
    </x:row>
    <x:row r="5">
      <x:c r="A5" s="10" t="str">
        <x:v>no-light</x:v>
      </x:c>
      <x:c r="B5" s="10" t="str">
        <x:v>multiple</x:v>
      </x:c>
      <x:c r="C5" s="10" t="str">
        <x:v>несколько участков</x:v>
      </x:c>
      <x:c r="D5" s="10" t="str">
        <x:v>mehrere Bereiche</x:v>
      </x:c>
      <x:c r="E5" s="10" t="n">
        <x:v>80</x:v>
      </x:c>
      <x:c r="F5" s="10" t="n">
        <x:v>180</x:v>
      </x:c>
      <x:c r="G5" s="10" t="str">
        <x:v>несколько участков</x:v>
      </x:c>
      <x:c r="H5" s="10" t="str">
        <x:v>mehrere Bereiche</x:v>
      </x:c>
      <x:c r="I5" s="10" t="n">
        <x:v>20</x:v>
      </x:c>
    </x:row>
    <x:row r="6">
      <x:c r="A6" s="10" t="str">
        <x:v>no-light</x:v>
      </x:c>
      <x:c r="B6" s="10" t="str">
        <x:v>full</x:v>
      </x:c>
      <x:c r="C6" s="10" t="str">
        <x:v>вся вывеска</x:v>
      </x:c>
      <x:c r="D6" s="10" t="str">
        <x:v>gesamte Anlage</x:v>
      </x:c>
      <x:c r="E6" s="10" t="n">
        <x:v>140</x:v>
      </x:c>
      <x:c r="F6" s="10" t="n">
        <x:v>260</x:v>
      </x:c>
      <x:c r="G6" s="10" t="str">
        <x:v>вся вывеска</x:v>
      </x:c>
      <x:c r="H6" s="10" t="str">
        <x:v>gesamte Anlage</x:v>
      </x:c>
      <x:c r="I6" s="10" t="n">
        <x:v>30</x:v>
      </x:c>
    </x:row>
    <x:row r="7">
      <x:c r="A7" s="10" t="str">
        <x:v>flicker</x:v>
      </x:c>
      <x:c r="B7" s="10" t="str">
        <x:v>single</x:v>
      </x:c>
      <x:c r="C7" s="10" t="str">
        <x:v>одна зона</x:v>
      </x:c>
      <x:c r="D7" s="10" t="str">
        <x:v>eine Zone</x:v>
      </x:c>
      <x:c r="E7" s="10" t="n">
        <x:v>0</x:v>
      </x:c>
      <x:c r="F7" s="10" t="n">
        <x:v>70</x:v>
      </x:c>
      <x:c r="G7" s="10" t="str">
        <x:v>одна зона</x:v>
      </x:c>
      <x:c r="H7" s="10" t="str">
        <x:v>eine Zone</x:v>
      </x:c>
      <x:c r="I7" s="10" t="n">
        <x:v>10</x:v>
      </x:c>
    </x:row>
    <x:row r="8">
      <x:c r="A8" s="10" t="str">
        <x:v>flicker</x:v>
      </x:c>
      <x:c r="B8" s="10" t="str">
        <x:v>multiple</x:v>
      </x:c>
      <x:c r="C8" s="10" t="str">
        <x:v>несколько зон</x:v>
      </x:c>
      <x:c r="D8" s="10" t="str">
        <x:v>mehrere Zonen</x:v>
      </x:c>
      <x:c r="E8" s="10" t="n">
        <x:v>70</x:v>
      </x:c>
      <x:c r="F8" s="10" t="n">
        <x:v>160</x:v>
      </x:c>
      <x:c r="G8" s="10" t="str">
        <x:v>несколько зон</x:v>
      </x:c>
      <x:c r="H8" s="10" t="str">
        <x:v>mehrere Zonen</x:v>
      </x:c>
      <x:c r="I8" s="10" t="n">
        <x:v>20</x:v>
      </x:c>
    </x:row>
    <x:row r="9">
      <x:c r="A9" s="10" t="str">
        <x:v>flicker</x:v>
      </x:c>
      <x:c r="B9" s="10" t="str">
        <x:v>full</x:v>
      </x:c>
      <x:c r="C9" s="10" t="str">
        <x:v>почти вся вывеска</x:v>
      </x:c>
      <x:c r="D9" s="10" t="str">
        <x:v>fast ueberall</x:v>
      </x:c>
      <x:c r="E9" s="10" t="n">
        <x:v>130</x:v>
      </x:c>
      <x:c r="F9" s="10" t="n">
        <x:v>240</x:v>
      </x:c>
      <x:c r="G9" s="10" t="str">
        <x:v>широкий сбой</x:v>
      </x:c>
      <x:c r="H9" s="10" t="str">
        <x:v>breiter Ausfall</x:v>
      </x:c>
      <x:c r="I9" s="10" t="n">
        <x:v>30</x:v>
      </x:c>
    </x:row>
    <x:row r="10">
      <x:c r="A10" s="10" t="str">
        <x:v>rain-fail</x:v>
      </x:c>
      <x:c r="B10" s="10" t="str">
        <x:v>sometimes</x:v>
      </x:c>
      <x:c r="C10" s="10" t="str">
        <x:v>иногда после дождя</x:v>
      </x:c>
      <x:c r="D10" s="10" t="str">
        <x:v>nur gelegentlich</x:v>
      </x:c>
      <x:c r="E10" s="10" t="n">
        <x:v>0</x:v>
      </x:c>
      <x:c r="F10" s="10" t="n">
        <x:v>100</x:v>
      </x:c>
      <x:c r="G10" s="10" t="str">
        <x:v>периодически</x:v>
      </x:c>
      <x:c r="H10" s="10" t="str">
        <x:v>sporadisch</x:v>
      </x:c>
      <x:c r="I10" s="10" t="n">
        <x:v>10</x:v>
      </x:c>
    </x:row>
    <x:row r="11">
      <x:c r="A11" s="10" t="str">
        <x:v>rain-fail</x:v>
      </x:c>
      <x:c r="B11" s="10" t="str">
        <x:v>breaker</x:v>
      </x:c>
      <x:c r="C11" s="10" t="str">
        <x:v>выбивает автомат</x:v>
      </x:c>
      <x:c r="D11" s="10" t="str">
        <x:v>Sicherung faellt</x:v>
      </x:c>
      <x:c r="E11" s="10" t="n">
        <x:v>120</x:v>
      </x:c>
      <x:c r="F11" s="10" t="n">
        <x:v>260</x:v>
      </x:c>
      <x:c r="G11" s="10" t="str">
        <x:v>срабатывает защита</x:v>
      </x:c>
      <x:c r="H11" s="10" t="str">
        <x:v>Schutz schaltet</x:v>
      </x:c>
      <x:c r="I11" s="10" t="n">
        <x:v>20</x:v>
      </x:c>
    </x:row>
    <x:row r="12">
      <x:c r="A12" s="10" t="str">
        <x:v>rain-fail</x:v>
      </x:c>
      <x:c r="B12" s="10" t="str">
        <x:v>visible-water</x:v>
      </x:c>
      <x:c r="C12" s="10" t="str">
        <x:v>видна вода</x:v>
      </x:c>
      <x:c r="D12" s="10" t="str">
        <x:v>Wasser sichtbar</x:v>
      </x:c>
      <x:c r="E12" s="10" t="n">
        <x:v>180</x:v>
      </x:c>
      <x:c r="F12" s="10" t="n">
        <x:v>360</x:v>
      </x:c>
      <x:c r="G12" s="10" t="str">
        <x:v>видимая влага</x:v>
      </x:c>
      <x:c r="H12" s="10" t="str">
        <x:v>sichtbare Feuchte</x:v>
      </x:c>
      <x:c r="I12" s="10" t="n">
        <x:v>30</x:v>
      </x:c>
    </x:row>
    <x:row r="13">
      <x:c r="A13" s="10" t="str">
        <x:v>film</x:v>
      </x:c>
      <x:c r="B13" s="10" t="str">
        <x:v>edge</x:v>
      </x:c>
      <x:c r="C13" s="10" t="str">
        <x:v>край / угол</x:v>
      </x:c>
      <x:c r="D13" s="10" t="str">
        <x:v>Kante / Ecke</x:v>
      </x:c>
      <x:c r="E13" s="10" t="n">
        <x:v>0</x:v>
      </x:c>
      <x:c r="F13" s="10" t="n">
        <x:v>60</x:v>
      </x:c>
      <x:c r="G13" s="10" t="str">
        <x:v>край</x:v>
      </x:c>
      <x:c r="H13" s="10" t="str">
        <x:v>Kante</x:v>
      </x:c>
      <x:c r="I13" s="10" t="n">
        <x:v>10</x:v>
      </x:c>
    </x:row>
    <x:row r="14">
      <x:c r="A14" s="10" t="str">
        <x:v>film</x:v>
      </x:c>
      <x:c r="B14" s="10" t="str">
        <x:v>section</x:v>
      </x:c>
      <x:c r="C14" s="10" t="str">
        <x:v>отдельный участок</x:v>
      </x:c>
      <x:c r="D14" s="10" t="str">
        <x:v>ein Abschnitt</x:v>
      </x:c>
      <x:c r="E14" s="10" t="n">
        <x:v>70</x:v>
      </x:c>
      <x:c r="F14" s="10" t="n">
        <x:v>170</x:v>
      </x:c>
      <x:c r="G14" s="10" t="str">
        <x:v>участок</x:v>
      </x:c>
      <x:c r="H14" s="10" t="str">
        <x:v>Abschnitt</x:v>
      </x:c>
      <x:c r="I14" s="10" t="n">
        <x:v>20</x:v>
      </x:c>
    </x:row>
    <x:row r="15">
      <x:c r="A15" s="10" t="str">
        <x:v>film</x:v>
      </x:c>
      <x:c r="B15" s="10" t="str">
        <x:v>large</x:v>
      </x:c>
      <x:c r="C15" s="10" t="str">
        <x:v>большая площадь</x:v>
      </x:c>
      <x:c r="D15" s="10" t="str">
        <x:v>große Flaeche</x:v>
      </x:c>
      <x:c r="E15" s="10" t="n">
        <x:v>160</x:v>
      </x:c>
      <x:c r="F15" s="10" t="n">
        <x:v>360</x:v>
      </x:c>
      <x:c r="G15" s="10" t="str">
        <x:v>большая площадь</x:v>
      </x:c>
      <x:c r="H15" s="10" t="str">
        <x:v>große Flaeche</x:v>
      </x:c>
      <x:c r="I15" s="10" t="n">
        <x:v>30</x:v>
      </x:c>
    </x:row>
    <x:row r="16">
      <x:c r="A16" s="10" t="str">
        <x:v>mounting</x:v>
      </x:c>
      <x:c r="B16" s="10" t="str">
        <x:v>loose</x:v>
      </x:c>
      <x:c r="C16" s="10" t="str">
        <x:v>легкий люфт</x:v>
      </x:c>
      <x:c r="D16" s="10" t="str">
        <x:v>leichter Spielraum</x:v>
      </x:c>
      <x:c r="E16" s="10" t="n">
        <x:v>0</x:v>
      </x:c>
      <x:c r="F16" s="10" t="n">
        <x:v>90</x:v>
      </x:c>
      <x:c r="G16" s="10" t="str">
        <x:v>легкое ослабление</x:v>
      </x:c>
      <x:c r="H16" s="10" t="str">
        <x:v>leichte Lockerung</x:v>
      </x:c>
      <x:c r="I16" s="10" t="n">
        <x:v>10</x:v>
      </x:c>
    </x:row>
    <x:row r="17">
      <x:c r="A17" s="10" t="str">
        <x:v>mounting</x:v>
      </x:c>
      <x:c r="B17" s="10" t="str">
        <x:v>damaged</x:v>
      </x:c>
      <x:c r="C17" s="10" t="str">
        <x:v>повреждение</x:v>
      </x:c>
      <x:c r="D17" s="10" t="str">
        <x:v>beschaedigt</x:v>
      </x:c>
      <x:c r="E17" s="10" t="n">
        <x:v>120</x:v>
      </x:c>
      <x:c r="F17" s="10" t="n">
        <x:v>260</x:v>
      </x:c>
      <x:c r="G17" s="10" t="str">
        <x:v>видимое повреждение</x:v>
      </x:c>
      <x:c r="H17" s="10" t="str">
        <x:v>sichtbarer Schaden</x:v>
      </x:c>
      <x:c r="I17" s="10" t="n">
        <x:v>20</x:v>
      </x:c>
    </x:row>
    <x:row r="18">
      <x:c r="A18" s="10" t="str">
        <x:v>mounting</x:v>
      </x:c>
      <x:c r="B18" s="10" t="str">
        <x:v>fall-risk</x:v>
      </x:c>
      <x:c r="C18" s="10" t="str">
        <x:v>риск падения</x:v>
      </x:c>
      <x:c r="D18" s="10" t="str">
        <x:v>Absturzrisiko</x:v>
      </x:c>
      <x:c r="E18" s="10" t="n">
        <x:v>220</x:v>
      </x:c>
      <x:c r="F18" s="10" t="n">
        <x:v>460</x:v>
      </x:c>
      <x:c r="G18" s="10" t="str">
        <x:v>высокая срочность фиксации</x:v>
      </x:c>
      <x:c r="H18" s="10" t="str">
        <x:v>hoher Sicherungsbedarf</x:v>
      </x:c>
      <x:c r="I18" s="10" t="n">
        <x:v>30</x:v>
      </x:c>
    </x:row>
    <x:row r="19">
      <x:c r="A19" s="10" t="str">
        <x:v>led-zone</x:v>
      </x:c>
      <x:c r="B19" s="10" t="str">
        <x:v>single</x:v>
      </x:c>
      <x:c r="C19" s="10" t="str">
        <x:v>одна зона / буква</x:v>
      </x:c>
      <x:c r="D19" s="10" t="str">
        <x:v>eine Zone / Buchstabe</x:v>
      </x:c>
      <x:c r="E19" s="10" t="n">
        <x:v>0</x:v>
      </x:c>
      <x:c r="F19" s="10" t="n">
        <x:v>70</x:v>
      </x:c>
      <x:c r="G19" s="10" t="str">
        <x:v>одна зона</x:v>
      </x:c>
      <x:c r="H19" s="10" t="str">
        <x:v>eine Zone</x:v>
      </x:c>
      <x:c r="I19" s="10" t="n">
        <x:v>10</x:v>
      </x:c>
    </x:row>
    <x:row r="20">
      <x:c r="A20" s="10" t="str">
        <x:v>led-zone</x:v>
      </x:c>
      <x:c r="B20" s="10" t="str">
        <x:v>multiple</x:v>
      </x:c>
      <x:c r="C20" s="10" t="str">
        <x:v>несколько зон</x:v>
      </x:c>
      <x:c r="D20" s="10" t="str">
        <x:v>mehrere Zonen</x:v>
      </x:c>
      <x:c r="E20" s="10" t="n">
        <x:v>80</x:v>
      </x:c>
      <x:c r="F20" s="10" t="n">
        <x:v>180</x:v>
      </x:c>
      <x:c r="G20" s="10" t="str">
        <x:v>несколько зон</x:v>
      </x:c>
      <x:c r="H20" s="10" t="str">
        <x:v>mehrere Zonen</x:v>
      </x:c>
      <x:c r="I20" s="10" t="n">
        <x:v>20</x:v>
      </x:c>
    </x:row>
    <x:row r="21">
      <x:c r="A21" s="10" t="str">
        <x:v>led-zone</x:v>
      </x:c>
      <x:c r="B21" s="10" t="str">
        <x:v>large</x:v>
      </x:c>
      <x:c r="C21" s="10" t="str">
        <x:v>большая часть</x:v>
      </x:c>
      <x:c r="D21" s="10" t="str">
        <x:v>großer Teil</x:v>
      </x:c>
      <x:c r="E21" s="10" t="n">
        <x:v>150</x:v>
      </x:c>
      <x:c r="F21" s="10" t="n">
        <x:v>320</x:v>
      </x:c>
      <x:c r="G21" s="10" t="str">
        <x:v>большой объем</x:v>
      </x:c>
      <x:c r="H21" s="10" t="str">
        <x:v>großer Umfang</x:v>
      </x:c>
      <x:c r="I21" s="10" t="n">
        <x:v>30</x:v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9" t="str">
        <x:v>Access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 t="str">
        <x:v>access_id</x:v>
      </x:c>
      <x:c r="B3" s="21" t="str">
        <x:v>label_ru</x:v>
      </x:c>
      <x:c r="C3" s="21" t="str">
        <x:v>label_de</x:v>
      </x:c>
      <x:c r="D3" s="21" t="str">
        <x:v>modifier_min_eur</x:v>
      </x:c>
      <x:c r="E3" s="21" t="str">
        <x:v>modifier_max_eur</x:v>
      </x:c>
      <x:c r="F3" s="21" t="str">
        <x:v>impact_ru</x:v>
      </x:c>
      <x:c r="G3" s="21" t="str">
        <x:v>impact_de</x:v>
      </x:c>
      <x:c r="H3" s="21" t="str">
        <x:v>sort_order</x:v>
      </x:c>
    </x:row>
    <x:row r="4">
      <x:c r="A4" s="10" t="str">
        <x:v>low</x:v>
      </x:c>
      <x:c r="B4" s="10" t="str">
        <x:v>До 3 м, доступно с лестницы</x:v>
      </x:c>
      <x:c r="C4" s="10" t="str">
        <x:v>Bis 3 m, Leiter erreichbar</x:v>
      </x:c>
      <x:c r="D4" s="10" t="n">
        <x:v>0</x:v>
      </x:c>
      <x:c r="E4" s="10" t="n">
        <x:v>0</x:v>
      </x:c>
      <x:c r="F4" s="10" t="str">
        <x:v>обычный доступ</x:v>
      </x:c>
      <x:c r="G4" s="10" t="str">
        <x:v>normaler Zugang</x:v>
      </x:c>
      <x:c r="H4" s="10" t="n">
        <x:v>10</x:v>
      </x:c>
    </x:row>
    <x:row r="5">
      <x:c r="A5" s="10" t="str">
        <x:v>mid</x:v>
      </x:c>
      <x:c r="B5" s="10" t="str">
        <x:v>3-6 м, вероятна платформа</x:v>
      </x:c>
      <x:c r="C5" s="10" t="str">
        <x:v>3-6 m, Buehne wahrscheinlich</x:v>
      </x:c>
      <x:c r="D5" s="10" t="n">
        <x:v>90</x:v>
      </x:c>
      <x:c r="E5" s="10" t="n">
        <x:v>180</x:v>
      </x:c>
      <x:c r="F5" s="10" t="str">
        <x:v>вероятна платформа</x:v>
      </x:c>
      <x:c r="G5" s="10" t="str">
        <x:v>Arbeitsbuehne wahrscheinlich</x:v>
      </x:c>
      <x:c r="H5" s="10" t="n">
        <x:v>20</x:v>
      </x:c>
    </x:row>
    <x:row r="6">
      <x:c r="A6" s="10" t="str">
        <x:v>high</x:v>
      </x:c>
      <x:c r="B6" s="10" t="str">
        <x:v>Выше 6 м или сложный доступ</x:v>
      </x:c>
      <x:c r="C6" s="10" t="str">
        <x:v>Ueber 6 m oder schwer erreichbar</x:v>
      </x:c>
      <x:c r="D6" s="10" t="n">
        <x:v>180</x:v>
      </x:c>
      <x:c r="E6" s="10" t="n">
        <x:v>360</x:v>
      </x:c>
      <x:c r="F6" s="10" t="str">
        <x:v>сложный доступ</x:v>
      </x:c>
      <x:c r="G6" s="10" t="str">
        <x:v>schwerer Zugang</x:v>
      </x:c>
      <x:c r="H6" s="10" t="n">
        <x:v>30</x:v>
      </x:c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9" t="str">
        <x:v>Service_Areas</x:v>
      </x:c>
      <x:c r="B1" s="20"/>
      <x:c r="C1" s="20"/>
      <x:c r="D1" s="20"/>
      <x:c r="E1" s="20"/>
      <x:c r="F1" s="20"/>
      <x:c r="G1" s="20"/>
      <x:c r="H1" s="20"/>
      <x:c r="I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</x:row>
    <x:row r="3">
      <x:c r="A3" s="21" t="str">
        <x:v>service_area_id</x:v>
      </x:c>
      <x:c r="B3" s="21" t="str">
        <x:v>label</x:v>
      </x:c>
      <x:c r="C3" s="21" t="str">
        <x:v>subtitle_ru</x:v>
      </x:c>
      <x:c r="D3" s="21" t="str">
        <x:v>subtitle_de</x:v>
      </x:c>
      <x:c r="E3" s="21" t="str">
        <x:v>modifier_min_eur</x:v>
      </x:c>
      <x:c r="F3" s="21" t="str">
        <x:v>modifier_max_eur</x:v>
      </x:c>
      <x:c r="G3" s="21" t="str">
        <x:v>is_suggestion</x:v>
      </x:c>
      <x:c r="H3" s="21" t="str">
        <x:v>manual_input_allowed</x:v>
      </x:c>
      <x:c r="I3" s="21" t="str">
        <x:v>sort_order</x:v>
      </x:c>
    </x:row>
    <x:row r="4">
      <x:c r="A4" s="10" t="str">
        <x:v>berlin</x:v>
      </x:c>
      <x:c r="B4" s="10" t="str">
        <x:v>Berlin - Stadtgebiet</x:v>
      </x:c>
      <x:c r="C4" s="10" t="str">
        <x:v>город Берлин</x:v>
      </x:c>
      <x:c r="D4" s="10" t="str">
        <x:v>Berlin</x:v>
      </x:c>
      <x:c r="E4" s="10" t="n">
        <x:v>0</x:v>
      </x:c>
      <x:c r="F4" s="10" t="n">
        <x:v>0</x:v>
      </x:c>
      <x:c r="G4" s="15" t="b">
        <x:v>1</x:v>
      </x:c>
      <x:c r="H4" s="15" t="b">
        <x:v>1</x:v>
      </x:c>
      <x:c r="I4" s="10" t="n">
        <x:v>10</x:v>
      </x:c>
    </x:row>
    <x:row r="5">
      <x:c r="A5" s="10" t="str">
        <x:v>berlin-umland</x:v>
      </x:c>
      <x:c r="B5" s="10" t="str">
        <x:v>Berliner Umland</x:v>
      </x:c>
      <x:c r="C5" s="10" t="str">
        <x:v>ближнее окружение Берлина</x:v>
      </x:c>
      <x:c r="D5" s="10" t="str">
        <x:v>Randgebiet um Berlin</x:v>
      </x:c>
      <x:c r="E5" s="10" t="n">
        <x:v>40</x:v>
      </x:c>
      <x:c r="F5" s="10" t="n">
        <x:v>120</x:v>
      </x:c>
      <x:c r="G5" s="15" t="b">
        <x:v>1</x:v>
      </x:c>
      <x:c r="H5" s="15" t="b">
        <x:v>1</x:v>
      </x:c>
      <x:c r="I5" s="10" t="n">
        <x:v>20</x:v>
      </x:c>
    </x:row>
    <x:row r="6">
      <x:c r="A6" s="10" t="str">
        <x:v>potsdam</x:v>
      </x:c>
      <x:c r="B6" s="10" t="str">
        <x:v>Potsdam</x:v>
      </x:c>
      <x:c r="C6" s="10" t="str">
        <x:v>земля Бранденбург</x:v>
      </x:c>
      <x:c r="D6" s="10" t="str">
        <x:v>Landeshauptstadt Brandenburg</x:v>
      </x:c>
      <x:c r="E6" s="10" t="n">
        <x:v>70</x:v>
      </x:c>
      <x:c r="F6" s="10" t="n">
        <x:v>160</x:v>
      </x:c>
      <x:c r="G6" s="15" t="b">
        <x:v>1</x:v>
      </x:c>
      <x:c r="H6" s="15" t="b">
        <x:v>1</x:v>
      </x:c>
      <x:c r="I6" s="10" t="n">
        <x:v>30</x:v>
      </x:c>
    </x:row>
    <x:row r="7">
      <x:c r="A7" s="10" t="str">
        <x:v>brandenburg-havel</x:v>
      </x:c>
      <x:c r="B7" s="10" t="str">
        <x:v>Brandenburg an der Havel</x:v>
      </x:c>
      <x:c r="C7" s="10" t="str">
        <x:v>земля Бранденбург</x:v>
      </x:c>
      <x:c r="D7" s="10" t="str">
        <x:v>Brandenburg</x:v>
      </x:c>
      <x:c r="E7" s="10" t="n">
        <x:v>120</x:v>
      </x:c>
      <x:c r="F7" s="10" t="n">
        <x:v>280</x:v>
      </x:c>
      <x:c r="G7" s="15" t="b">
        <x:v>1</x:v>
      </x:c>
      <x:c r="H7" s="15" t="b">
        <x:v>1</x:v>
      </x:c>
      <x:c r="I7" s="10" t="n">
        <x:v>40</x:v>
      </x:c>
    </x:row>
    <x:row r="8">
      <x:c r="A8" s="10" t="str">
        <x:v>cottbus</x:v>
      </x:c>
      <x:c r="B8" s="10" t="str">
        <x:v>Cottbus</x:v>
      </x:c>
      <x:c r="C8" s="10" t="str">
        <x:v>земля Бранденбург</x:v>
      </x:c>
      <x:c r="D8" s="10" t="str">
        <x:v>Brandenburg</x:v>
      </x:c>
      <x:c r="E8" s="10" t="n">
        <x:v>180</x:v>
      </x:c>
      <x:c r="F8" s="10" t="n">
        <x:v>360</x:v>
      </x:c>
      <x:c r="G8" s="15" t="b">
        <x:v>1</x:v>
      </x:c>
      <x:c r="H8" s="15" t="b">
        <x:v>1</x:v>
      </x:c>
      <x:c r="I8" s="10" t="n">
        <x:v>50</x:v>
      </x:c>
    </x:row>
    <x:row r="9">
      <x:c r="A9" s="10" t="str">
        <x:v>frankfurt-oder</x:v>
      </x:c>
      <x:c r="B9" s="10" t="str">
        <x:v>Frankfurt (Oder)</x:v>
      </x:c>
      <x:c r="C9" s="10" t="str">
        <x:v>земля Бранденбург</x:v>
      </x:c>
      <x:c r="D9" s="10" t="str">
        <x:v>Brandenburg</x:v>
      </x:c>
      <x:c r="E9" s="10" t="n">
        <x:v>160</x:v>
      </x:c>
      <x:c r="F9" s="10" t="n">
        <x:v>320</x:v>
      </x:c>
      <x:c r="G9" s="15" t="b">
        <x:v>1</x:v>
      </x:c>
      <x:c r="H9" s="15" t="b">
        <x:v>1</x:v>
      </x:c>
      <x:c r="I9" s="10" t="n">
        <x:v>60</x:v>
      </x:c>
    </x:row>
    <x:row r="10">
      <x:c r="A10" s="10" t="str">
        <x:v>oranienburg</x:v>
      </x:c>
      <x:c r="B10" s="10" t="str">
        <x:v>Oranienburg</x:v>
      </x:c>
      <x:c r="C10" s="10" t="str">
        <x:v>ближнее окружение Берлина</x:v>
      </x:c>
      <x:c r="D10" s="10" t="str">
        <x:v>Berliner Umland</x:v>
      </x:c>
      <x:c r="E10" s="10" t="n">
        <x:v>80</x:v>
      </x:c>
      <x:c r="F10" s="10" t="n">
        <x:v>190</x:v>
      </x:c>
      <x:c r="G10" s="15" t="b">
        <x:v>1</x:v>
      </x:c>
      <x:c r="H10" s="15" t="b">
        <x:v>1</x:v>
      </x:c>
      <x:c r="I10" s="10" t="n">
        <x:v>70</x:v>
      </x:c>
    </x:row>
    <x:row r="11">
      <x:c r="A11" s="10" t="str">
        <x:v>bernau</x:v>
      </x:c>
      <x:c r="B11" s="10" t="str">
        <x:v>Bernau bei Berlin</x:v>
      </x:c>
      <x:c r="C11" s="10" t="str">
        <x:v>ближнее окружение Берлина</x:v>
      </x:c>
      <x:c r="D11" s="10" t="str">
        <x:v>Berliner Umland</x:v>
      </x:c>
      <x:c r="E11" s="10" t="n">
        <x:v>80</x:v>
      </x:c>
      <x:c r="F11" s="10" t="n">
        <x:v>190</x:v>
      </x:c>
      <x:c r="G11" s="15" t="b">
        <x:v>1</x:v>
      </x:c>
      <x:c r="H11" s="15" t="b">
        <x:v>1</x:v>
      </x:c>
      <x:c r="I11" s="10" t="n">
        <x:v>80</x:v>
      </x:c>
    </x:row>
    <x:row r="12">
      <x:c r="A12" s="10" t="str">
        <x:v>falkensee</x:v>
      </x:c>
      <x:c r="B12" s="10" t="str">
        <x:v>Falkensee</x:v>
      </x:c>
      <x:c r="C12" s="10" t="str">
        <x:v>ближнее окружение Берлина</x:v>
      </x:c>
      <x:c r="D12" s="10" t="str">
        <x:v>Berliner Umland</x:v>
      </x:c>
      <x:c r="E12" s="10" t="n">
        <x:v>80</x:v>
      </x:c>
      <x:c r="F12" s="10" t="n">
        <x:v>190</x:v>
      </x:c>
      <x:c r="G12" s="15" t="b">
        <x:v>1</x:v>
      </x:c>
      <x:c r="H12" s="15" t="b">
        <x:v>1</x:v>
      </x:c>
      <x:c r="I12" s="10" t="n">
        <x:v>90</x:v>
      </x:c>
    </x:row>
    <x:row r="13">
      <x:c r="A13" s="10" t="str">
        <x:v>koenigs-wusterhausen</x:v>
      </x:c>
      <x:c r="B13" s="10" t="str">
        <x:v>Königs Wusterhausen</x:v>
      </x:c>
      <x:c r="C13" s="10" t="str">
        <x:v>ближнее окружение Берлина</x:v>
      </x:c>
      <x:c r="D13" s="10" t="str">
        <x:v>Berliner Umland</x:v>
      </x:c>
      <x:c r="E13" s="10" t="n">
        <x:v>90</x:v>
      </x:c>
      <x:c r="F13" s="10" t="n">
        <x:v>210</x:v>
      </x:c>
      <x:c r="G13" s="15" t="b">
        <x:v>1</x:v>
      </x:c>
      <x:c r="H13" s="15" t="b">
        <x:v>1</x:v>
      </x:c>
      <x:c r="I13" s="10" t="n">
        <x:v>100</x:v>
      </x:c>
    </x:row>
    <x:row r="14">
      <x:c r="A14" s="10" t="str">
        <x:v>ludwigsfelde</x:v>
      </x:c>
      <x:c r="B14" s="10" t="str">
        <x:v>Ludwigsfelde</x:v>
      </x:c>
      <x:c r="C14" s="10" t="str">
        <x:v>ближнее окружение Берлина</x:v>
      </x:c>
      <x:c r="D14" s="10" t="str">
        <x:v>Berliner Umland</x:v>
      </x:c>
      <x:c r="E14" s="10" t="n">
        <x:v>90</x:v>
      </x:c>
      <x:c r="F14" s="10" t="n">
        <x:v>210</x:v>
      </x:c>
      <x:c r="G14" s="15" t="b">
        <x:v>1</x:v>
      </x:c>
      <x:c r="H14" s="15" t="b">
        <x:v>1</x:v>
      </x:c>
      <x:c r="I14" s="10" t="n">
        <x:v>110</x:v>
      </x:c>
    </x:row>
    <x:row r="15">
      <x:c r="A15" s="10" t="str">
        <x:v>brandenburg</x:v>
      </x:c>
      <x:c r="B15" s="10" t="str">
        <x:v>Land Brandenburg allgemein</x:v>
      </x:c>
      <x:c r="C15" s="10" t="str">
        <x:v>город уточняется вручную</x:v>
      </x:c>
      <x:c r="D15" s="10" t="str">
        <x:v>Ort wird manuell angegeben</x:v>
      </x:c>
      <x:c r="E15" s="10" t="n">
        <x:v>90</x:v>
      </x:c>
      <x:c r="F15" s="10" t="n">
        <x:v>240</x:v>
      </x:c>
      <x:c r="G15" s="15" t="b">
        <x:v>1</x:v>
      </x:c>
      <x:c r="H15" s="15" t="b">
        <x:v>1</x:v>
      </x:c>
      <x:c r="I15" s="10" t="n">
        <x:v>120</x:v>
      </x:c>
    </x:row>
    <x:row r="16">
      <x:c r="A16" s="10" t="str">
        <x:v>outside</x:v>
      </x:c>
      <x:c r="B16" s="10" t="str">
        <x:v>За пределами ядра - по запросу</x:v>
      </x:c>
      <x:c r="C16" s="10" t="str">
        <x:v>ручное уточнение</x:v>
      </x:c>
      <x:c r="D16" s="10" t="str">
        <x:v>manuelle Klaerung</x:v>
      </x:c>
      <x:c r="E16" s="10" t="n">
        <x:v>180</x:v>
      </x:c>
      <x:c r="F16" s="10" t="n">
        <x:v>420</x:v>
      </x:c>
      <x:c r="G16" s="15" t="b">
        <x:v>1</x:v>
      </x:c>
      <x:c r="H16" s="15" t="b">
        <x:v>1</x:v>
      </x:c>
      <x:c r="I16" s="10" t="n">
        <x:v>130</x:v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9" t="str">
        <x:v>Urgency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 t="str">
        <x:v>urgency_id</x:v>
      </x:c>
      <x:c r="B3" s="21" t="str">
        <x:v>label_ru</x:v>
      </x:c>
      <x:c r="C3" s="21" t="str">
        <x:v>label_de</x:v>
      </x:c>
      <x:c r="D3" s="21" t="str">
        <x:v>modifier_min_eur</x:v>
      </x:c>
      <x:c r="E3" s="21" t="str">
        <x:v>modifier_max_eur</x:v>
      </x:c>
      <x:c r="F3" s="21" t="str">
        <x:v>impact_ru</x:v>
      </x:c>
      <x:c r="G3" s="21" t="str">
        <x:v>impact_de</x:v>
      </x:c>
      <x:c r="H3" s="21" t="str">
        <x:v>sort_order</x:v>
      </x:c>
    </x:row>
    <x:row r="4">
      <x:c r="A4" s="10" t="str">
        <x:v>planned</x:v>
      </x:c>
      <x:c r="B4" s="10" t="str">
        <x:v>Плановый выезд</x:v>
      </x:c>
      <x:c r="C4" s="10" t="str">
        <x:v>Geplanter Einsatz</x:v>
      </x:c>
      <x:c r="D4" s="10" t="n">
        <x:v>0</x:v>
      </x:c>
      <x:c r="E4" s="10" t="n">
        <x:v>0</x:v>
      </x:c>
      <x:c r="F4" s="10" t="str">
        <x:v>плановый выезд</x:v>
      </x:c>
      <x:c r="G4" s="10" t="str">
        <x:v>geplanter Einsatz</x:v>
      </x:c>
      <x:c r="H4" s="10" t="n">
        <x:v>10</x:v>
      </x:c>
    </x:row>
    <x:row r="5">
      <x:c r="A5" s="10" t="str">
        <x:v>urgent</x:v>
      </x:c>
      <x:c r="B5" s="10" t="str">
        <x:v>Срочный выезд</x:v>
      </x:c>
      <x:c r="C5" s="10" t="str">
        <x:v>Dringender Einsatz</x:v>
      </x:c>
      <x:c r="D5" s="10" t="n">
        <x:v>160</x:v>
      </x:c>
      <x:c r="E5" s="10" t="n">
        <x:v>380</x:v>
      </x:c>
      <x:c r="F5" s="10" t="str">
        <x:v>срочный выезд</x:v>
      </x:c>
      <x:c r="G5" s="10" t="str">
        <x:v>dringender Einsatz</x:v>
      </x:c>
      <x:c r="H5" s="10" t="n">
        <x:v>20</x:v>
      </x:c>
    </x:row>
    <x:row r="6">
      <x:c r="A6" s="20"/>
      <x:c r="B6" s="20"/>
      <x:c r="C6" s="20"/>
      <x:c r="D6" s="20"/>
      <x:c r="E6" s="20"/>
      <x:c r="F6" s="20"/>
      <x:c r="G6" s="20"/>
      <x:c r="H6" s="20"/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19" t="str">
        <x:v>Area_Bands</x:v>
      </x:c>
      <x:c r="B1" s="20"/>
      <x:c r="C1" s="20"/>
      <x:c r="D1" s="20"/>
      <x:c r="E1" s="20"/>
      <x:c r="F1" s="20"/>
      <x:c r="G1" s="20"/>
    </x:row>
    <x:row r="2">
      <x:c r="A2" s="20"/>
      <x:c r="B2" s="20"/>
      <x:c r="C2" s="20"/>
      <x:c r="D2" s="20"/>
      <x:c r="E2" s="20"/>
      <x:c r="F2" s="20"/>
      <x:c r="G2" s="20"/>
    </x:row>
    <x:row r="3">
      <x:c r="A3" s="21" t="str">
        <x:v>area_band_id</x:v>
      </x:c>
      <x:c r="B3" s="21" t="str">
        <x:v>min_m2</x:v>
      </x:c>
      <x:c r="C3" s="21" t="str">
        <x:v>max_m2</x:v>
      </x:c>
      <x:c r="D3" s="21" t="str">
        <x:v>modifier_min_eur</x:v>
      </x:c>
      <x:c r="E3" s="21" t="str">
        <x:v>modifier_max_eur</x:v>
      </x:c>
      <x:c r="F3" s="21" t="str">
        <x:v>label</x:v>
      </x:c>
      <x:c r="G3" s="21" t="str">
        <x:v>notes</x:v>
      </x:c>
    </x:row>
    <x:row r="4">
      <x:c r="A4" s="10" t="str">
        <x:v>small</x:v>
      </x:c>
      <x:c r="B4" s="10" t="n">
        <x:v>0.5</x:v>
      </x:c>
      <x:c r="C4" s="10" t="n">
        <x:v>2</x:v>
      </x:c>
      <x:c r="D4" s="10" t="n">
        <x:v>0</x:v>
      </x:c>
      <x:c r="E4" s="10" t="n">
        <x:v>0</x:v>
      </x:c>
      <x:c r="F4" s="10" t="str">
        <x:v>0.5-2 m2</x:v>
      </x:c>
      <x:c r="G4" s="10" t="str">
        <x:v>Default small sign band.</x:v>
      </x:c>
    </x:row>
    <x:row r="5">
      <x:c r="A5" s="10" t="str">
        <x:v>medium</x:v>
      </x:c>
      <x:c r="B5" s="10" t="n">
        <x:v>2.01</x:v>
      </x:c>
      <x:c r="C5" s="10" t="n">
        <x:v>6</x:v>
      </x:c>
      <x:c r="D5" s="10" t="n">
        <x:v>60</x:v>
      </x:c>
      <x:c r="E5" s="10" t="n">
        <x:v>140</x:v>
      </x:c>
      <x:c r="F5" s="10" t="str">
        <x:v>2-6 m2</x:v>
      </x:c>
      <x:c r="G5" s="10" t="str">
        <x:v>Moderate area.</x:v>
      </x:c>
    </x:row>
    <x:row r="6">
      <x:c r="A6" s="10" t="str">
        <x:v>large</x:v>
      </x:c>
      <x:c r="B6" s="10" t="n">
        <x:v>6.01</x:v>
      </x:c>
      <x:c r="C6" s="10" t="n">
        <x:v>12</x:v>
      </x:c>
      <x:c r="D6" s="10" t="n">
        <x:v>140</x:v>
      </x:c>
      <x:c r="E6" s="10" t="n">
        <x:v>280</x:v>
      </x:c>
      <x:c r="F6" s="10" t="str">
        <x:v>6-12 m2</x:v>
      </x:c>
      <x:c r="G6" s="10" t="str">
        <x:v>Larger sign.</x:v>
      </x:c>
    </x:row>
    <x:row r="7">
      <x:c r="A7" s="10" t="str">
        <x:v>xlarge</x:v>
      </x:c>
      <x:c r="B7" s="10" t="n">
        <x:v>12.01</x:v>
      </x:c>
      <x:c r="C7" s="10" t="n">
        <x:v>30</x:v>
      </x:c>
      <x:c r="D7" s="10" t="n">
        <x:v>260</x:v>
      </x:c>
      <x:c r="E7" s="10" t="n">
        <x:v>520</x:v>
      </x:c>
      <x:c r="F7" s="10" t="str">
        <x:v>12-30 m2</x:v>
      </x:c>
      <x:c r="G7" s="10" t="str">
        <x:v>Upper prototype cap.</x:v>
      </x:c>
    </x:row>
    <x:row r="8">
      <x:c r="A8" s="20"/>
      <x:c r="B8" s="20"/>
      <x:c r="C8" s="20"/>
      <x:c r="D8" s="20"/>
      <x:c r="E8" s="20"/>
      <x:c r="F8" s="20"/>
      <x:c r="G8" s="2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19" t="str">
        <x:v>Photo_Checklist</x:v>
      </x:c>
      <x:c r="B1" s="20"/>
      <x:c r="C1" s="20"/>
      <x:c r="D1" s="20"/>
      <x:c r="E1" s="20"/>
      <x:c r="F1" s="20"/>
    </x:row>
    <x:row r="2">
      <x:c r="A2" s="20"/>
      <x:c r="B2" s="20"/>
      <x:c r="C2" s="20"/>
      <x:c r="D2" s="20"/>
      <x:c r="E2" s="20"/>
      <x:c r="F2" s="20"/>
    </x:row>
    <x:row r="3">
      <x:c r="A3" s="21" t="str">
        <x:v>photo_id</x:v>
      </x:c>
      <x:c r="B3" s="21" t="str">
        <x:v>scenario_id</x:v>
      </x:c>
      <x:c r="C3" s="21" t="str">
        <x:v>applies_to_all</x:v>
      </x:c>
      <x:c r="D3" s="21" t="str">
        <x:v>label_ru</x:v>
      </x:c>
      <x:c r="E3" s="21" t="str">
        <x:v>label_de</x:v>
      </x:c>
      <x:c r="F3" s="21" t="str">
        <x:v>sort_order</x:v>
      </x:c>
    </x:row>
    <x:row r="4">
      <x:c r="A4" s="10" t="str">
        <x:v>full-sign</x:v>
      </x:c>
      <x:c r="B4" s="10" t="str"/>
      <x:c r="C4" s="15" t="b">
        <x:v>1</x:v>
      </x:c>
      <x:c r="D4" s="10" t="str">
        <x:v>Общий вид вывески и фасада</x:v>
      </x:c>
      <x:c r="E4" s="10" t="str">
        <x:v>Gesamtansicht von Anlage und Fassade</x:v>
      </x:c>
      <x:c r="F4" s="10" t="n">
        <x:v>10</x:v>
      </x:c>
    </x:row>
    <x:row r="5">
      <x:c r="A5" s="10" t="str">
        <x:v>close-up</x:v>
      </x:c>
      <x:c r="B5" s="10" t="str"/>
      <x:c r="C5" s="15" t="b">
        <x:v>1</x:v>
      </x:c>
      <x:c r="D5" s="10" t="str">
        <x:v>Крупный план проблемного места</x:v>
      </x:c>
      <x:c r="E5" s="10" t="str">
        <x:v>Nahaufnahme des betroffenen Bereichs</x:v>
      </x:c>
      <x:c r="F5" s="10" t="n">
        <x:v>20</x:v>
      </x:c>
    </x:row>
    <x:row r="6">
      <x:c r="A6" s="10" t="str">
        <x:v>height-access</x:v>
      </x:c>
      <x:c r="B6" s="10" t="str"/>
      <x:c r="C6" s="15" t="b">
        <x:v>1</x:v>
      </x:c>
      <x:c r="D6" s="10" t="str">
        <x:v>Фото, где видна высота и доступ</x:v>
      </x:c>
      <x:c r="E6" s="10" t="str">
        <x:v>Foto mit Hoehe und Zugang</x:v>
      </x:c>
      <x:c r="F6" s="10" t="n">
        <x:v>30</x:v>
      </x:c>
    </x:row>
    <x:row r="7">
      <x:c r="A7" s="10" t="str">
        <x:v>flicker-video</x:v>
      </x:c>
      <x:c r="B7" s="10" t="str">
        <x:v>flicker</x:v>
      </x:c>
      <x:c r="C7" s="15" t="b">
        <x:v>0</x:v>
      </x:c>
      <x:c r="D7" s="10" t="str">
        <x:v>Короткое видео мерцания</x:v>
      </x:c>
      <x:c r="E7" s="10" t="str">
        <x:v>Kurzes Video vom Flackern</x:v>
      </x:c>
      <x:c r="F7" s="10" t="n">
        <x:v>40</x:v>
      </x:c>
    </x:row>
    <x:row r="8">
      <x:c r="A8" s="10" t="str">
        <x:v>rain-housing</x:v>
      </x:c>
      <x:c r="B8" s="10" t="str">
        <x:v>rain-fail</x:v>
      </x:c>
      <x:c r="C8" s="15" t="b">
        <x:v>0</x:v>
      </x:c>
      <x:c r="D8" s="10" t="str">
        <x:v>Фото корпуса, стыков и кабельного ввода снаружи</x:v>
      </x:c>
      <x:c r="E8" s="10" t="str">
        <x:v>Gehaeuse, Fugen und Kabeleinfuehrung von außen</x:v>
      </x:c>
      <x:c r="F8" s="10" t="n">
        <x:v>50</x:v>
      </x:c>
    </x:row>
    <x:row r="9">
      <x:c r="A9" s="10" t="str">
        <x:v>film-edge</x:v>
      </x:c>
      <x:c r="B9" s="10" t="str">
        <x:v>film</x:v>
      </x:c>
      <x:c r="C9" s="15" t="b">
        <x:v>0</x:v>
      </x:c>
      <x:c r="D9" s="10" t="str">
        <x:v>Крупный план края, пузырей или выцветания</x:v>
      </x:c>
      <x:c r="E9" s="10" t="str">
        <x:v>Nahaufnahme von Kante, Blasen oder Verblassung</x:v>
      </x:c>
      <x:c r="F9" s="10" t="n">
        <x:v>60</x:v>
      </x:c>
    </x:row>
    <x:row r="10">
      <x:c r="A10" s="10" t="str">
        <x:v>mounting-distance</x:v>
      </x:c>
      <x:c r="B10" s="10" t="str">
        <x:v>mounting</x:v>
      </x:c>
      <x:c r="C10" s="15" t="b">
        <x:v>0</x:v>
      </x:c>
      <x:c r="D10" s="10" t="str">
        <x:v>Фото с безопасного расстояния</x:v>
      </x:c>
      <x:c r="E10" s="10" t="str">
        <x:v>Foto aus sicherem Abstand</x:v>
      </x:c>
      <x:c r="F10" s="10" t="n">
        <x:v>70</x:v>
      </x:c>
    </x:row>
    <x:row r="11">
      <x:c r="A11" s="10" t="str">
        <x:v>led-zone-area</x:v>
      </x:c>
      <x:c r="B11" s="10" t="str">
        <x:v>led-zone</x:v>
      </x:c>
      <x:c r="C11" s="15" t="b">
        <x:v>0</x:v>
      </x:c>
      <x:c r="D11" s="10" t="str">
        <x:v>Общий вид плюс отдельная буква или зона</x:v>
      </x:c>
      <x:c r="E11" s="10" t="str">
        <x:v>Gesamtansicht plus betroffener Buchstabe oder Bereich</x:v>
      </x:c>
      <x:c r="F11" s="10" t="n">
        <x:v>80</x:v>
      </x:c>
    </x:row>
    <x:row r="12">
      <x:c r="A12" s="20"/>
      <x:c r="B12" s="20"/>
      <x:c r="C12" s="20"/>
      <x:c r="D12" s="20"/>
      <x:c r="E12" s="20"/>
      <x:c r="F12" s="2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19" t="str">
        <x:v>Copy_Settings</x:v>
      </x:c>
      <x:c r="B1" s="20"/>
      <x:c r="C1" s="20"/>
      <x:c r="D1" s="20"/>
    </x:row>
    <x:row r="2">
      <x:c r="A2" s="20"/>
      <x:c r="B2" s="20"/>
      <x:c r="C2" s="20"/>
      <x:c r="D2" s="20"/>
    </x:row>
    <x:row r="3">
      <x:c r="A3" s="21" t="str">
        <x:v>copy_key</x:v>
      </x:c>
      <x:c r="B3" s="21" t="str">
        <x:v>ru</x:v>
      </x:c>
      <x:c r="C3" s="21" t="str">
        <x:v>de</x:v>
      </x:c>
      <x:c r="D3" s="21" t="str">
        <x:v>notes</x:v>
      </x:c>
    </x:row>
    <x:row r="4">
      <x:c r="A4" s="10" t="str">
        <x:v>disclaimer</x:v>
      </x:c>
      <x:c r="B4" s="10" t="str">
        <x:v>Это не финальное предложение. Точная оценка после фото, адреса, доступа и проверки материалов.</x:v>
      </x:c>
      <x:c r="C4" s="10" t="str">
        <x:v>Kein verbindliches Angebot. Die genaue Einschätzung entsteht erst nach Fotos, Adresse, Zugang und Materialprüfung.</x:v>
      </x:c>
      <x:c r="D4" s="10" t="str">
        <x:v>Required disclaimer near price.</x:v>
      </x:c>
    </x:row>
    <x:row r="5">
      <x:c r="A5" s="10" t="str">
        <x:v>confidence_low</x:v>
      </x:c>
      <x:c r="B5" s="10" t="str">
        <x:v>Оценка пока грубая</x:v>
      </x:c>
      <x:c r="C5" s="10" t="str">
        <x:v>Sehr grobe Orientierung</x:v>
      </x:c>
      <x:c r="D5" s="10" t="str">
        <x:v>Shown when construction/location unclear.</x:v>
      </x:c>
    </x:row>
    <x:row r="6">
      <x:c r="A6" s="10" t="str">
        <x:v>confidence_medium</x:v>
      </x:c>
      <x:c r="B6" s="10" t="str">
        <x:v>Рабочий ориентир</x:v>
      </x:c>
      <x:c r="C6" s="10" t="str">
        <x:v>Arbeitsfaehige Orientierung</x:v>
      </x:c>
      <x:c r="D6" s="10" t="str">
        <x:v>Shown when visible fields are set.</x:v>
      </x:c>
    </x:row>
    <x:row r="7">
      <x:c r="A7" s="10" t="str">
        <x:v>cta_planned</x:v>
      </x:c>
      <x:c r="B7" s="10" t="str">
        <x:v>Запросить диагностику</x:v>
      </x:c>
      <x:c r="C7" s="10" t="str">
        <x:v>Diagnose anfragen</x:v>
      </x:c>
      <x:c r="D7" s="10" t="str">
        <x:v>Default CTA.</x:v>
      </x:c>
    </x:row>
    <x:row r="8">
      <x:c r="A8" s="10" t="str">
        <x:v>cta_urgent</x:v>
      </x:c>
      <x:c r="B8" s="10" t="str">
        <x:v>Запросить срочный выезд</x:v>
      </x:c>
      <x:c r="C8" s="10" t="str">
        <x:v>Dringenden Einsatz anfragen</x:v>
      </x:c>
      <x:c r="D8" s="10" t="str">
        <x:v>Urgent visit CTA.</x:v>
      </x:c>
    </x:row>
    <x:row r="9">
      <x:c r="A9" s="20"/>
      <x:c r="B9" s="20"/>
      <x:c r="C9" s="20"/>
      <x:c r="D9" s="2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19" t="str">
        <x:v>Formula Model - Example Calculation</x:v>
      </x:c>
      <x:c r="B1" s="20"/>
      <x:c r="C1" s="20"/>
    </x:row>
    <x:row r="2">
      <x:c r="A2" s="20"/>
      <x:c r="B2" s="20"/>
      <x:c r="C2" s="20"/>
    </x:row>
    <x:row r="3">
      <x:c r="A3" s="21" t="str">
        <x:v>Field</x:v>
      </x:c>
      <x:c r="B3" s="21" t="str">
        <x:v>Value / Formula</x:v>
      </x:c>
      <x:c r="C3" s="21" t="str">
        <x:v>Notes</x:v>
      </x:c>
    </x:row>
    <x:row r="4">
      <x:c r="A4" s="10" t="str">
        <x:v>Selected construction_id</x:v>
      </x:c>
      <x:c r="B4" s="10" t="str">
        <x:v>lightbox</x:v>
      </x:c>
      <x:c r="C4" s="10" t="str">
        <x:v>Example input, lookup in Constructions.</x:v>
      </x:c>
    </x:row>
    <x:row r="5">
      <x:c r="A5" s="10" t="str">
        <x:v>Selected scenario_id</x:v>
      </x:c>
      <x:c r="B5" s="10" t="str">
        <x:v>flicker</x:v>
      </x:c>
      <x:c r="C5" s="10" t="str">
        <x:v>Example input, lookup in Scenarios.</x:v>
      </x:c>
    </x:row>
    <x:row r="6">
      <x:c r="A6" s="10" t="str">
        <x:v>Selected scope_id</x:v>
      </x:c>
      <x:c r="B6" s="10" t="str">
        <x:v>single</x:v>
      </x:c>
      <x:c r="C6" s="10" t="str">
        <x:v>Example input, lookup in Scopes filtered by scenario.</x:v>
      </x:c>
    </x:row>
    <x:row r="7">
      <x:c r="A7" s="10" t="str">
        <x:v>Selected access_id</x:v>
      </x:c>
      <x:c r="B7" s="10" t="str">
        <x:v>low</x:v>
      </x:c>
      <x:c r="C7" s="10" t="str">
        <x:v>Example input, lookup in Access.</x:v>
      </x:c>
    </x:row>
    <x:row r="8">
      <x:c r="A8" s="10" t="str">
        <x:v>Selected service_area_id</x:v>
      </x:c>
      <x:c r="B8" s="10" t="str">
        <x:v>berlin</x:v>
      </x:c>
      <x:c r="C8" s="10" t="str">
        <x:v>Example input, lookup in Service_Areas.</x:v>
      </x:c>
    </x:row>
    <x:row r="9">
      <x:c r="A9" s="10" t="str">
        <x:v>Selected urgency_id</x:v>
      </x:c>
      <x:c r="B9" s="10" t="str">
        <x:v>planned</x:v>
      </x:c>
      <x:c r="C9" s="10" t="str">
        <x:v>Example input, lookup in Urgency.</x:v>
      </x:c>
    </x:row>
    <x:row r="10">
      <x:c r="A10" s="10" t="str">
        <x:v>Width m</x:v>
      </x:c>
      <x:c r="B10" s="10" t="n">
        <x:v>5</x:v>
      </x:c>
      <x:c r="C10" s="10" t="str">
        <x:v>Example input.</x:v>
      </x:c>
    </x:row>
    <x:row r="11">
      <x:c r="A11" s="10" t="str">
        <x:v>Height m</x:v>
      </x:c>
      <x:c r="B11" s="10" t="n">
        <x:v>0.7</x:v>
      </x:c>
      <x:c r="C11" s="10" t="str">
        <x:v>Example input.</x:v>
      </x:c>
    </x:row>
    <x:row r="12">
      <x:c r="A12" s="10" t="str">
        <x:v>Area m2</x:v>
      </x:c>
      <x:c r="B12" s="10" t="n">
        <x:f>B10*B11</x:f>
        <x:v>3.5</x:v>
      </x:c>
      <x:c r="C12" s="10" t="str">
        <x:v>Calculated area.</x:v>
      </x:c>
    </x:row>
    <x:row r="13">
      <x:c r="A13" s="10" t="str">
        <x:v>Area band</x:v>
      </x:c>
      <x:c r="B13" s="10" t="str">
        <x:f>XLOOKUP(1,(B12&gt;=Area_Bands!B4:B7)*(B12&lt;=Area_Bands!C4:C7),Area_Bands!A4:A7)</x:f>
        <x:v>medium</x:v>
      </x:c>
      <x:c r="C13" s="10" t="str">
        <x:v>Maps area to area band.</x:v>
      </x:c>
    </x:row>
    <x:row r="14">
      <x:c r="A14" s="10" t="str">
        <x:v>Base min</x:v>
      </x:c>
      <x:c r="B14" s="10" t="n">
        <x:f>XLOOKUP(B5,Scenarios!A4:A9,Scenarios!K4:K9)</x:f>
        <x:v>240</x:v>
      </x:c>
      <x:c r="C14" s="10" t="str">
        <x:v>Scenario base min.</x:v>
      </x:c>
    </x:row>
    <x:row r="15">
      <x:c r="A15" s="10" t="str">
        <x:v>Base max</x:v>
      </x:c>
      <x:c r="B15" s="10" t="n">
        <x:f>XLOOKUP(B5,Scenarios!A4:A9,Scenarios!L4:L9)</x:f>
        <x:v>560</x:v>
      </x:c>
      <x:c r="C15" s="10" t="str">
        <x:v>Scenario base max.</x:v>
      </x:c>
    </x:row>
    <x:row r="16">
      <x:c r="A16" s="10" t="str">
        <x:v>Construction min</x:v>
      </x:c>
      <x:c r="B16" s="10" t="n">
        <x:f>XLOOKUP(B4,Constructions!A4:A12,Constructions!G4:G12)</x:f>
        <x:v>30</x:v>
      </x:c>
      <x:c r="C16" s="10" t="str">
        <x:v>Construction modifier min.</x:v>
      </x:c>
    </x:row>
    <x:row r="17">
      <x:c r="A17" s="10" t="str">
        <x:v>Construction max</x:v>
      </x:c>
      <x:c r="B17" s="10" t="n">
        <x:f>XLOOKUP(B4,Constructions!A4:A12,Constructions!H4:H12)</x:f>
        <x:v>110</x:v>
      </x:c>
      <x:c r="C17" s="10" t="str">
        <x:v>Construction modifier max.</x:v>
      </x:c>
    </x:row>
    <x:row r="18">
      <x:c r="A18" s="10" t="str">
        <x:v>Scope min</x:v>
      </x:c>
      <x:c r="B18" s="10" t="n">
        <x:f>XLOOKUP(B5&amp;"|"&amp;B6,Scopes!A4:A21&amp;"|"&amp;Scopes!B4:B21,Scopes!E4:E21)</x:f>
        <x:v>0</x:v>
      </x:c>
      <x:c r="C18" s="10" t="str">
        <x:v>Scope modifier min.</x:v>
      </x:c>
    </x:row>
    <x:row r="19">
      <x:c r="A19" s="10" t="str">
        <x:v>Scope max</x:v>
      </x:c>
      <x:c r="B19" s="10" t="n">
        <x:f>XLOOKUP(B5&amp;"|"&amp;B6,Scopes!A4:A21&amp;"|"&amp;Scopes!B4:B21,Scopes!F4:F21)</x:f>
        <x:v>70</x:v>
      </x:c>
      <x:c r="C19" s="10" t="str">
        <x:v>Scope modifier max.</x:v>
      </x:c>
    </x:row>
    <x:row r="20">
      <x:c r="A20" s="10" t="str">
        <x:v>Access min</x:v>
      </x:c>
      <x:c r="B20" s="10" t="n">
        <x:f>XLOOKUP(B7,Access!A4:A6,Access!D4:D6)</x:f>
        <x:v>0</x:v>
      </x:c>
      <x:c r="C20" s="10" t="str">
        <x:v>Access modifier min.</x:v>
      </x:c>
    </x:row>
    <x:row r="21">
      <x:c r="A21" s="10" t="str">
        <x:v>Access max</x:v>
      </x:c>
      <x:c r="B21" s="10" t="n">
        <x:f>XLOOKUP(B7,Access!A4:A6,Access!E4:E6)</x:f>
        <x:v>0</x:v>
      </x:c>
      <x:c r="C21" s="10" t="str">
        <x:v>Access modifier max.</x:v>
      </x:c>
    </x:row>
    <x:row r="22">
      <x:c r="A22" s="10" t="str">
        <x:v>Service area min</x:v>
      </x:c>
      <x:c r="B22" s="10" t="n">
        <x:f>XLOOKUP(B8,Service_Areas!A4:A16,Service_Areas!E4:E16)</x:f>
        <x:v>0</x:v>
      </x:c>
      <x:c r="C22" s="10" t="str">
        <x:v>Service area modifier min.</x:v>
      </x:c>
    </x:row>
    <x:row r="23">
      <x:c r="A23" s="10" t="str">
        <x:v>Service area max</x:v>
      </x:c>
      <x:c r="B23" s="10" t="n">
        <x:f>XLOOKUP(B8,Service_Areas!A4:A16,Service_Areas!F4:F16)</x:f>
        <x:v>0</x:v>
      </x:c>
      <x:c r="C23" s="10" t="str">
        <x:v>Service area modifier max.</x:v>
      </x:c>
    </x:row>
    <x:row r="24">
      <x:c r="A24" s="10" t="str">
        <x:v>Urgency min</x:v>
      </x:c>
      <x:c r="B24" s="10" t="n">
        <x:f>XLOOKUP(B9,Urgency!A4:A5,Urgency!D4:D5)</x:f>
        <x:v>0</x:v>
      </x:c>
      <x:c r="C24" s="10" t="str">
        <x:v>Urgency modifier min.</x:v>
      </x:c>
    </x:row>
    <x:row r="25">
      <x:c r="A25" s="10" t="str">
        <x:v>Urgency max</x:v>
      </x:c>
      <x:c r="B25" s="10" t="n">
        <x:f>XLOOKUP(B9,Urgency!A4:A5,Urgency!E4:E5)</x:f>
        <x:v>0</x:v>
      </x:c>
      <x:c r="C25" s="10" t="str">
        <x:v>Urgency modifier max.</x:v>
      </x:c>
    </x:row>
    <x:row r="26">
      <x:c r="A26" s="10" t="str">
        <x:v>Area min</x:v>
      </x:c>
      <x:c r="B26" s="10" t="n">
        <x:f>XLOOKUP(B13,Area_Bands!A4:A7,Area_Bands!D4:D7)</x:f>
        <x:v>60</x:v>
      </x:c>
      <x:c r="C26" s="10" t="str">
        <x:v>Area modifier min.</x:v>
      </x:c>
    </x:row>
    <x:row r="27">
      <x:c r="A27" s="10" t="str">
        <x:v>Area max</x:v>
      </x:c>
      <x:c r="B27" s="10" t="n">
        <x:f>XLOOKUP(B13,Area_Bands!A4:A7,Area_Bands!E4:E7)</x:f>
        <x:v>140</x:v>
      </x:c>
      <x:c r="C27" s="10" t="str">
        <x:v>Area modifier max.</x:v>
      </x:c>
    </x:row>
    <x:row r="28">
      <x:c r="A28" s="10" t="str">
        <x:v>Final min rounded</x:v>
      </x:c>
      <x:c r="B28" s="10" t="n">
        <x:f>MROUND(SUM(B14,B16,B18,B20,B22,B24,B26),10)</x:f>
        <x:v>330</x:v>
      </x:c>
      <x:c r="C28" s="10" t="str">
        <x:v>Displayed min range.</x:v>
      </x:c>
    </x:row>
    <x:row r="29">
      <x:c r="A29" s="10" t="str">
        <x:v>Final max rounded</x:v>
      </x:c>
      <x:c r="B29" s="10" t="n">
        <x:f>MROUND(SUM(B15,B17,B19,B21,B23,B25,B27),10)</x:f>
        <x:v>880</x:v>
      </x:c>
      <x:c r="C29" s="10" t="str">
        <x:v>Displayed max range.</x:v>
      </x:c>
    </x:row>
    <x:row r="30">
      <x:c r="A30" s="20"/>
      <x:c r="B30" s="20"/>
      <x:c r="C30" s="20"/>
    </x:row>
  </x:sheetData>
  <x:pageMargins left="0.7" right="0.7" top="0.75" bottom="0.75" header="0.3" footer="0.3"/>
</x:worksheet>
</file>